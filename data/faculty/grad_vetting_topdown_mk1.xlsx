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Universities" sheetId="2" state="visible" r:id="rId4"/>
    <sheet name="Faculty" sheetId="3" state="visible" r:id="rId5"/>
    <sheet name="Pap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<sst xmlns="http://schemas.openxmlformats.org/spreadsheetml/2006/main" count="1127" uniqueCount="548">
  <si>
    <t xml:space="preserve">Top-down grad vetting — mk1 (2026-09-27)</t>
  </si>
  <si>
    <t xml:space="preserve">Method</t>
  </si>
  <si>
    <t xml:space="preserve">Seed = Chen et al. 2021 phonon DOS (FORGE phonon reproduction). Three sweeps: forward/sideways citation lineage; Bayesian-UQ + ML-for-CMP physics groups; University of Arizona faculty. US university faculty only.</t>
  </si>
  <si>
    <t xml:space="preserve">Fit (1-5)</t>
  </si>
  <si>
    <t xml:space="preserve">Claude's judgment, EDIT FREELY (blue cells on Faculty). 5 = direct overlap with phonon-ML / Bayesian UQ AND can advise a CMP physics PhD.</t>
  </si>
  <si>
    <t xml:space="preserve">Physics dept</t>
  </si>
  <si>
    <t xml:space="preserve">Y = Physics/Applied Physics appointment; Partial = joint or listed in physics grad program (confirm sole-advising); N = other dept.</t>
  </si>
  <si>
    <t xml:space="preserve">Score</t>
  </si>
  <si>
    <t xml:space="preserve">Universities: sum of fit for Y/Partial PIs + weight x sum of fit for N PIs. Weight in cell B7.</t>
  </si>
  <si>
    <t xml:space="preserve">Non-physics weight</t>
  </si>
  <si>
    <t xml:space="preserve">Flags</t>
  </si>
  <si>
    <t xml:space="preserve">Gull lab moving to Warsaw; Gomez-Bombarelli possible leave; Transtrum left BYU (Tadmor row); Shuiwang Ji affiliation unverified; Biswas partial.</t>
  </si>
  <si>
    <t xml:space="preserve">Gaps</t>
  </si>
  <si>
    <t xml:space="preserve">Not exhaustive: sweeps capped ~25-36 papers each. arXiv rate limits skipped a few pages. Recruiting status is only what faculty pages state. UA score is inflated: it got a dedicated full-department sweep, other schools only appear through papers — compare on Best PI fit, not Score.</t>
  </si>
  <si>
    <t xml:space="preserve">Notable</t>
  </si>
  <si>
    <t xml:space="preserve">Zhantao Chen (seed-paper first author) is now faculty at UT Austin ME doing Bayesian Hamiltonian inference — closest match to FORGE's Laplace/HMC work.</t>
  </si>
  <si>
    <t xml:space="preserve">Rank</t>
  </si>
  <si>
    <t xml:space="preserve">University</t>
  </si>
  <si>
    <t xml:space="preserve">State</t>
  </si>
  <si>
    <t xml:space="preserve">PIs</t>
  </si>
  <si>
    <t xml:space="preserve">Physics PIs (Y)</t>
  </si>
  <si>
    <t xml:space="preserve">Partial PIs</t>
  </si>
  <si>
    <t xml:space="preserve">Total fit</t>
  </si>
  <si>
    <t xml:space="preserve">Best PI fit</t>
  </si>
  <si>
    <t xml:space="preserve">Papers</t>
  </si>
  <si>
    <t xml:space="preserve">University of Arizona</t>
  </si>
  <si>
    <t xml:space="preserve">AZ</t>
  </si>
  <si>
    <t xml:space="preserve">U Tennessee Knoxville</t>
  </si>
  <si>
    <t xml:space="preserve">TN</t>
  </si>
  <si>
    <t xml:space="preserve">MIT</t>
  </si>
  <si>
    <t xml:space="preserve">MA</t>
  </si>
  <si>
    <t xml:space="preserve">U Florida</t>
  </si>
  <si>
    <t xml:space="preserve">FL</t>
  </si>
  <si>
    <t xml:space="preserve">UIUC</t>
  </si>
  <si>
    <t xml:space="preserve">IL</t>
  </si>
  <si>
    <t xml:space="preserve">Cornell</t>
  </si>
  <si>
    <t xml:space="preserve">NY</t>
  </si>
  <si>
    <t xml:space="preserve">Northeastern</t>
  </si>
  <si>
    <t xml:space="preserve">Caltech</t>
  </si>
  <si>
    <t xml:space="preserve">CA</t>
  </si>
  <si>
    <t xml:space="preserve">UC San Diego</t>
  </si>
  <si>
    <t xml:space="preserve">UC Davis</t>
  </si>
  <si>
    <t xml:space="preserve">Duke</t>
  </si>
  <si>
    <t xml:space="preserve">NC</t>
  </si>
  <si>
    <t xml:space="preserve">Emory</t>
  </si>
  <si>
    <t xml:space="preserve">GA</t>
  </si>
  <si>
    <t xml:space="preserve">U Virginia</t>
  </si>
  <si>
    <t xml:space="preserve">VA</t>
  </si>
  <si>
    <t xml:space="preserve">UC Irvine</t>
  </si>
  <si>
    <t xml:space="preserve">UT Austin</t>
  </si>
  <si>
    <t xml:space="preserve">TX</t>
  </si>
  <si>
    <t xml:space="preserve">Harvard</t>
  </si>
  <si>
    <t xml:space="preserve">U Michigan</t>
  </si>
  <si>
    <t xml:space="preserve">MI</t>
  </si>
  <si>
    <t xml:space="preserve">UC Riverside</t>
  </si>
  <si>
    <t xml:space="preserve">UCLA</t>
  </si>
  <si>
    <t xml:space="preserve">U Houston</t>
  </si>
  <si>
    <t xml:space="preserve">UW-Madison</t>
  </si>
  <si>
    <t xml:space="preserve">WI</t>
  </si>
  <si>
    <t xml:space="preserve">Johns Hopkins</t>
  </si>
  <si>
    <t xml:space="preserve">MD</t>
  </si>
  <si>
    <t xml:space="preserve">U Minnesota</t>
  </si>
  <si>
    <t xml:space="preserve">MN</t>
  </si>
  <si>
    <t xml:space="preserve">Purdue</t>
  </si>
  <si>
    <t xml:space="preserve">IN</t>
  </si>
  <si>
    <t xml:space="preserve">U South Carolina</t>
  </si>
  <si>
    <t xml:space="preserve">SC</t>
  </si>
  <si>
    <t xml:space="preserve">Portland State</t>
  </si>
  <si>
    <t xml:space="preserve">OR</t>
  </si>
  <si>
    <t xml:space="preserve">U Oregon</t>
  </si>
  <si>
    <t xml:space="preserve">Texas A&amp;M</t>
  </si>
  <si>
    <t xml:space="preserve">PI</t>
  </si>
  <si>
    <t xml:space="preserve">Department</t>
  </si>
  <si>
    <t xml:space="preserve">Sweep</t>
  </si>
  <si>
    <t xml:space="preserve">Note / flag</t>
  </si>
  <si>
    <t xml:space="preserve">Page</t>
  </si>
  <si>
    <t xml:space="preserve">Rank in school</t>
  </si>
  <si>
    <t xml:space="preserve">Dalziel Wilson</t>
  </si>
  <si>
    <t xml:space="preserve">Optical Sciences (joint Physics)</t>
  </si>
  <si>
    <t xml:space="preserve">Partial</t>
  </si>
  <si>
    <t xml:space="preserve">ua</t>
  </si>
  <si>
    <t xml:space="preserve">Bayesian-opt phononic nanomechanics; confirm sole Physics advising</t>
  </si>
  <si>
    <t xml:space="preserve">https://profiles.arizona.edu/person/dalziel</t>
  </si>
  <si>
    <t xml:space="preserve">Brian LeRoy</t>
  </si>
  <si>
    <t xml:space="preserve">Physics</t>
  </si>
  <si>
    <t xml:space="preserve">Y</t>
  </si>
  <si>
    <t xml:space="preserve">2D/moire experiment; phonon lifetimes</t>
  </si>
  <si>
    <t xml:space="preserve">https://leroylab.arizona.edu/publications.html</t>
  </si>
  <si>
    <t xml:space="preserve">John Schaibley</t>
  </si>
  <si>
    <t xml:space="preserve">TMD semiconductors; fits SST emphasis</t>
  </si>
  <si>
    <t xml:space="preserve">https://physics.arizona.edu/people/john-schaibley</t>
  </si>
  <si>
    <t xml:space="preserve">Pierre Deymier</t>
  </si>
  <si>
    <t xml:space="preserve">Materials Sci &amp; Eng</t>
  </si>
  <si>
    <t xml:space="preserve">N</t>
  </si>
  <si>
    <t xml:space="preserve">UA's phonon group; needs Physics co-advisor</t>
  </si>
  <si>
    <t xml:space="preserve">https://mse.engineering.arizona.edu/faculty-staff</t>
  </si>
  <si>
    <t xml:space="preserve">Charles Stafford</t>
  </si>
  <si>
    <t xml:space="preserve">Quantum heat/thermoelectric transport theory</t>
  </si>
  <si>
    <t xml:space="preserve">https://stafford.physics.arizona.edu/publications.html</t>
  </si>
  <si>
    <t xml:space="preserve">Zafer Mutlu</t>
  </si>
  <si>
    <t xml:space="preserve">MSE / ECE / Physics</t>
  </si>
  <si>
    <t xml:space="preserve">GNR transistors</t>
  </si>
  <si>
    <t xml:space="preserve">https://zafermutlu.arizona.edu/publications</t>
  </si>
  <si>
    <t xml:space="preserve">Brian S.Y. Kim</t>
  </si>
  <si>
    <t xml:space="preserve">MSE / Physics</t>
  </si>
  <si>
    <t xml:space="preserve">vdW / 2D semiconductors</t>
  </si>
  <si>
    <t xml:space="preserve">https://profiles.arizona.edu/person/briankim</t>
  </si>
  <si>
    <t xml:space="preserve">Tai Kong</t>
  </si>
  <si>
    <t xml:space="preserve">Quantum-magnet crystal growth</t>
  </si>
  <si>
    <t xml:space="preserve">https://sites.google.com/view/kong-lab/publications</t>
  </si>
  <si>
    <t xml:space="preserve">Jean-Luc Bredas</t>
  </si>
  <si>
    <t xml:space="preserve">Chemistry &amp; Biochemistry</t>
  </si>
  <si>
    <t xml:space="preserve">GNN vibrational spectra; dept not confirmed on UA page</t>
  </si>
  <si>
    <t xml:space="preserve">https://bredators.arizona.edu/publications</t>
  </si>
  <si>
    <t xml:space="preserve">Sumit Mazumdar</t>
  </si>
  <si>
    <t xml:space="preserve">Physics / Chem / OSC</t>
  </si>
  <si>
    <t xml:space="preserve">https://physics.arizona.edu/people/sumit-mazumdar</t>
  </si>
  <si>
    <t xml:space="preserve">Mohammed Hassan</t>
  </si>
  <si>
    <t xml:space="preserve">Physics (and OSC)</t>
  </si>
  <si>
    <t xml:space="preserve">Attosecond</t>
  </si>
  <si>
    <t xml:space="preserve">https://sites.arizona.edu/mohammedhassan/publications/</t>
  </si>
  <si>
    <t xml:space="preserve">Nikolay Golubev</t>
  </si>
  <si>
    <t xml:space="preserve">https://ngolubev.com/publications/</t>
  </si>
  <si>
    <t xml:space="preserve">Arvinder Sandhu</t>
  </si>
  <si>
    <t xml:space="preserve">Co-author on LeRoy phonon work</t>
  </si>
  <si>
    <t xml:space="preserve">https://physics.arizona.edu/</t>
  </si>
  <si>
    <t xml:space="preserve">Marat Latypov</t>
  </si>
  <si>
    <t xml:space="preserve">MSE / Applied Math</t>
  </si>
  <si>
    <t xml:space="preserve">Qing Hao</t>
  </si>
  <si>
    <t xml:space="preserve">Aerospace &amp; Mechanical Eng</t>
  </si>
  <si>
    <t xml:space="preserve">Phonon thermal transport measurement</t>
  </si>
  <si>
    <t xml:space="preserve">https://profiles.arizona.edu/person/qinghao</t>
  </si>
  <si>
    <t xml:space="preserve">Alan Tennant</t>
  </si>
  <si>
    <t xml:space="preserve">Physics &amp; MSE</t>
  </si>
  <si>
    <t xml:space="preserve">phonon-lineage</t>
  </si>
  <si>
    <t xml:space="preserve">Inverse Hamiltonian from neutron data; ORNL adjacent</t>
  </si>
  <si>
    <t xml:space="preserve">https://quantummaterials.utk.edu/affiliates/affiliates-alan-tennant/</t>
  </si>
  <si>
    <t xml:space="preserve">Adrian Del Maestro</t>
  </si>
  <si>
    <t xml:space="preserve">Physics (Head)</t>
  </si>
  <si>
    <t xml:space="preserve">bayes-cmp</t>
  </si>
  <si>
    <t xml:space="preserve">GP ensembles for QMC/DMRG</t>
  </si>
  <si>
    <t xml:space="preserve">https://physics.utk.edu/people/instructional-faculty/del-maestro-adrian/</t>
  </si>
  <si>
    <t xml:space="preserve">Yang Zhang</t>
  </si>
  <si>
    <t xml:space="preserve">Physics (joint EECS)</t>
  </si>
  <si>
    <t xml:space="preserve">RECRUITING per page</t>
  </si>
  <si>
    <t xml:space="preserve">https://physics.utk.edu/people/instructional-faculty/zhang-yang/</t>
  </si>
  <si>
    <t xml:space="preserve">Cristian Batista</t>
  </si>
  <si>
    <t xml:space="preserve">NN inverse neutron scattering</t>
  </si>
  <si>
    <t xml:space="preserve">https://physics.utk.edu/people/instructional-faculty/batista-cristian-d/</t>
  </si>
  <si>
    <t xml:space="preserve">Steve Johnston</t>
  </si>
  <si>
    <t xml:space="preserve">Co-author lead: RIXS Bayesian-opt Hamiltonian inference (BNL senior)</t>
  </si>
  <si>
    <t xml:space="preserve">https://physics.utk.edu/</t>
  </si>
  <si>
    <t xml:space="preserve">Sergei Kalinin</t>
  </si>
  <si>
    <t xml:space="preserve">Bayesian-opt autonomous microscopy</t>
  </si>
  <si>
    <t xml:space="preserve">https://tickle.utk.edu/mse/faculty/sergei-kalinin/</t>
  </si>
  <si>
    <t xml:space="preserve">Arpan Biswas</t>
  </si>
  <si>
    <t xml:space="preserve">Bredesen Center (Res. Asst. Prof.)</t>
  </si>
  <si>
    <t xml:space="preserve">Affiliation partially verified</t>
  </si>
  <si>
    <t xml:space="preserve">https://bredesencenter.utk.edu/faculty/arpan-biswas/</t>
  </si>
  <si>
    <t xml:space="preserve">Mingda Li</t>
  </si>
  <si>
    <t xml:space="preserve">Nuclear Science &amp; Eng</t>
  </si>
  <si>
    <t xml:space="preserve">Seed-paper PI. NSE, not Physics; confirm cross-dept advising</t>
  </si>
  <si>
    <t xml:space="preserve">https://nse.mit.edu/people/mingda-li/</t>
  </si>
  <si>
    <t xml:space="preserve">Tess Smidt</t>
  </si>
  <si>
    <t xml:space="preserve">EECS</t>
  </si>
  <si>
    <t xml:space="preserve">e3nn author</t>
  </si>
  <si>
    <t xml:space="preserve">https://www.eecs.mit.edu/people/tess-smidt/</t>
  </si>
  <si>
    <t xml:space="preserve">Liang Fu</t>
  </si>
  <si>
    <t xml:space="preserve">Neural quantum states for moire/FQH</t>
  </si>
  <si>
    <t xml:space="preserve">https://physics.mit.edu/faculty/liang-fu/</t>
  </si>
  <si>
    <t xml:space="preserve">Marin Soljacic</t>
  </si>
  <si>
    <t xml:space="preserve">Photonic DOS ML; weaker CMP fit</t>
  </si>
  <si>
    <t xml:space="preserve">https://physics.mit.edu/faculty/marin-soljacic/</t>
  </si>
  <si>
    <t xml:space="preserve">Joseph Checkelsky</t>
  </si>
  <si>
    <t xml:space="preserve">Co-author lead (Phonax w/ Smidt); experimental quantum materials</t>
  </si>
  <si>
    <t xml:space="preserve">https://physics.mit.edu/faculty/joseph-checkelsky/</t>
  </si>
  <si>
    <t xml:space="preserve">Rafael Gomez-Bombarelli</t>
  </si>
  <si>
    <t xml:space="preserve">FLAG: possible leave to Lila Sciences</t>
  </si>
  <si>
    <t xml:space="preserve">https://mrl.mit.edu/PIs/Rafael-Gomez-Bombarelli</t>
  </si>
  <si>
    <t xml:space="preserve">Jeffrey Grossman</t>
  </si>
  <si>
    <t xml:space="preserve">https://dmse.mit.edu/people/faculty/jeffrey-grossman/</t>
  </si>
  <si>
    <t xml:space="preserve">Chunjing Jia</t>
  </si>
  <si>
    <t xml:space="preserve">GP active learning of phase diagrams + ARPES ML</t>
  </si>
  <si>
    <t xml:space="preserve">https://phys.ufl.edu/people/faculty/chunjing-jia/</t>
  </si>
  <si>
    <t xml:space="preserve">Richard Hennig</t>
  </si>
  <si>
    <t xml:space="preserve">Electron-phonon a2F ML; cites seed</t>
  </si>
  <si>
    <t xml:space="preserve">https://mse.ufl.edu/people/faculty/name/richard-hennig/</t>
  </si>
  <si>
    <t xml:space="preserve">Peter Hirschfeld</t>
  </si>
  <si>
    <t xml:space="preserve">Co-author lead on Hennig superconductor ML</t>
  </si>
  <si>
    <t xml:space="preserve">https://phys.ufl.edu/</t>
  </si>
  <si>
    <t xml:space="preserve">Bryan Clark</t>
  </si>
  <si>
    <t xml:space="preserve">Neural quantum states</t>
  </si>
  <si>
    <t xml:space="preserve">https://physics.illinois.edu/people/directory/profile/bkclark</t>
  </si>
  <si>
    <t xml:space="preserve">Lucas Wagner</t>
  </si>
  <si>
    <t xml:space="preserve">https://physics.illinois.edu/people/directory/profile/lkwagner</t>
  </si>
  <si>
    <t xml:space="preserve">Elif Ertekin</t>
  </si>
  <si>
    <t xml:space="preserve">Mechanical Sci &amp; Eng</t>
  </si>
  <si>
    <t xml:space="preserve">Weak fit</t>
  </si>
  <si>
    <t xml:space="preserve">https://mechse.illinois.edu/people/profile/ertekin</t>
  </si>
  <si>
    <t xml:space="preserve">Eun-Ah Kim</t>
  </si>
  <si>
    <t xml:space="preserve">Strongest CMP+ML fit (XTEC on scattering data)</t>
  </si>
  <si>
    <t xml:space="preserve">https://physics.cornell.edu/eun-ah-kim</t>
  </si>
  <si>
    <t xml:space="preserve">Carla Gomes</t>
  </si>
  <si>
    <t xml:space="preserve">Computer Science</t>
  </si>
  <si>
    <t xml:space="preserve">https://www.cs.cornell.edu/people/carla-gomes</t>
  </si>
  <si>
    <t xml:space="preserve">Qimin Yan</t>
  </si>
  <si>
    <t xml:space="preserve">Equivariant spectra; cites seed</t>
  </si>
  <si>
    <t xml:space="preserve">https://cos.northeastern.edu/wp-content/uploads/2024/12/CV_Qimin_Yan.pdf</t>
  </si>
  <si>
    <t xml:space="preserve">Marco Bernardi</t>
  </si>
  <si>
    <t xml:space="preserve">Applied Physics &amp; Materials Sci</t>
  </si>
  <si>
    <t xml:space="preserve">Electron-phonon, physics-heavy</t>
  </si>
  <si>
    <t xml:space="preserve">https://www.aphms.caltech.edu/people/bmarco</t>
  </si>
  <si>
    <t xml:space="preserve">Yi-Zhuang You</t>
  </si>
  <si>
    <t xml:space="preserve">Welcomes student inquiries</t>
  </si>
  <si>
    <t xml:space="preserve">https://everettyou.github.io/people/YZYou</t>
  </si>
  <si>
    <t xml:space="preserve">Richard Scalettar</t>
  </si>
  <si>
    <t xml:space="preserve">Physics &amp; Astronomy</t>
  </si>
  <si>
    <t xml:space="preserve">ML on electron-phonon (Holstein) QMC</t>
  </si>
  <si>
    <t xml:space="preserve">https://physics.ucdavis.edu/directory/faculty/richard-scalettar</t>
  </si>
  <si>
    <t xml:space="preserve">Olivier Delaire</t>
  </si>
  <si>
    <t xml:space="preserve">Mech Eng &amp; Materials Sci (Physics DB)</t>
  </si>
  <si>
    <t xml:space="preserve">Experimental phonons + ML INS inversion; confirm Physics advising</t>
  </si>
  <si>
    <t xml:space="preserve">https://fds.duke.edu/db/aas/Physics/researchers/olivier.delaire</t>
  </si>
  <si>
    <t xml:space="preserve">Yao Wang</t>
  </si>
  <si>
    <t xml:space="preserve">Chemistry (Physics grad program)</t>
  </si>
  <si>
    <t xml:space="preserve">Co-author lead on many Mingda Li papers</t>
  </si>
  <si>
    <t xml:space="preserve">https://www.emory.edu/</t>
  </si>
  <si>
    <t xml:space="preserve">Gia-Wei Chern</t>
  </si>
  <si>
    <t xml:space="preserve">ML force fields for spin systems</t>
  </si>
  <si>
    <t xml:space="preserve">https://www.phys.virginia.edu/People/personal.asp?UID=gc6u</t>
  </si>
  <si>
    <t xml:space="preserve">Kieron Burke</t>
  </si>
  <si>
    <t xml:space="preserve">Chemistry; Physics &amp; Astronomy</t>
  </si>
  <si>
    <t xml:space="preserve">ML-DFT</t>
  </si>
  <si>
    <t xml:space="preserve">https://ps.uci.edu/fprofile/kieron-burke/</t>
  </si>
  <si>
    <t xml:space="preserve">Zhantao Chen</t>
  </si>
  <si>
    <t xml:space="preserve">Mechanical Eng</t>
  </si>
  <si>
    <t xml:space="preserve">SEED-PAPER FIRST AUTHOR, now faculty; Bayesian Hamiltonian inference from INS</t>
  </si>
  <si>
    <t xml:space="preserve">https://www.me.utexas.edu/people/faculty-directory/zchen</t>
  </si>
  <si>
    <t xml:space="preserve">Boris Kozinsky</t>
  </si>
  <si>
    <t xml:space="preserve">SEAS / Chem</t>
  </si>
  <si>
    <t xml:space="preserve">Best Bayesian-UQ match (FLARE GP force fields, thermal transport)</t>
  </si>
  <si>
    <t xml:space="preserve">https://mir.g.harvard.edu/people/boris-kozinsky</t>
  </si>
  <si>
    <t xml:space="preserve">Emanuel Gull</t>
  </si>
  <si>
    <t xml:space="preserve">FLAG: lab relocating to Warsaw (ERC)</t>
  </si>
  <si>
    <t xml:space="preserve">https://lsa.umich.edu/physics/people/faculty/egull.html</t>
  </si>
  <si>
    <t xml:space="preserve">Chen Li</t>
  </si>
  <si>
    <t xml:space="preserve">Mech Eng / MSE</t>
  </si>
  <si>
    <t xml:space="preserve">VAE inversion of neutron spectra</t>
  </si>
  <si>
    <t xml:space="preserve">https://chenwli.com/</t>
  </si>
  <si>
    <t xml:space="preserve">Di Luo</t>
  </si>
  <si>
    <t xml:space="preserve">Electrical &amp; Computer Eng</t>
  </si>
  <si>
    <t xml:space="preserve">Co-author lead; welcomes physics/ML students</t>
  </si>
  <si>
    <t xml:space="preserve">https://diluo28.github.io/diluo.github.io/</t>
  </si>
  <si>
    <t xml:space="preserve">Mingjian Wen</t>
  </si>
  <si>
    <t xml:space="preserve">Chemical &amp; Biomolecular Eng</t>
  </si>
  <si>
    <t xml:space="preserve">UQ in atomistic ML; RECRUITING</t>
  </si>
  <si>
    <t xml:space="preserve">https://www.chee.uh.edu/faculty/wen-mingjian</t>
  </si>
  <si>
    <t xml:space="preserve">Dane Morgan</t>
  </si>
  <si>
    <t xml:space="preserve">Calibrated UQ + domain guidance</t>
  </si>
  <si>
    <t xml:space="preserve">https://engineering.wisc.edu/directory/profile/dane-morgan</t>
  </si>
  <si>
    <t xml:space="preserve">Kamal Choudhary</t>
  </si>
  <si>
    <t xml:space="preserve">Materials Sci &amp; Eng (joint ECE)</t>
  </si>
  <si>
    <t xml:space="preserve">https://engineering.jhu.edu/materials/faculty/kamal-choudhary/</t>
  </si>
  <si>
    <t xml:space="preserve">Ellad Tadmor</t>
  </si>
  <si>
    <t xml:space="preserve">Aerospace Eng &amp; Mechanics</t>
  </si>
  <si>
    <t xml:space="preserve">Ensemble UQ for interatomic potentials</t>
  </si>
  <si>
    <t xml:space="preserve">https://cse.umn.edu/aem/ellad-b-tadmor</t>
  </si>
  <si>
    <t xml:space="preserve">Xiulin Ruan</t>
  </si>
  <si>
    <t xml:space="preserve">https://engineering.purdue.edu/ME/People/ptProfile?resource_id=29343</t>
  </si>
  <si>
    <t xml:space="preserve">Ming Hu</t>
  </si>
  <si>
    <t xml:space="preserve">Direct phonon-DOS competitor</t>
  </si>
  <si>
    <t xml:space="preserve">https://sc.edu/study/colleges_schools/engineering_and_computing/faculty-staff/minghu.php</t>
  </si>
  <si>
    <t xml:space="preserve">Yi Xia</t>
  </si>
  <si>
    <t xml:space="preserve">Mechanical &amp; Materials Eng</t>
  </si>
  <si>
    <t xml:space="preserve">https://www.pdx.edu/profile/yi-xia</t>
  </si>
  <si>
    <t xml:space="preserve">Matthias Agne</t>
  </si>
  <si>
    <t xml:space="preserve">https://chemistry.uoregon.edu/profile/agne/</t>
  </si>
  <si>
    <t xml:space="preserve">Shuiwang Ji</t>
  </si>
  <si>
    <t xml:space="preserve">CS &amp; Eng</t>
  </si>
  <si>
    <t xml:space="preserve">Affiliation NOT verified</t>
  </si>
  <si>
    <t xml:space="preserve">https://engineering.tamu.edu/</t>
  </si>
  <si>
    <t xml:space="preserve">Title</t>
  </si>
  <si>
    <t xml:space="preserve">Year</t>
  </si>
  <si>
    <t xml:space="preserve">Venue</t>
  </si>
  <si>
    <t xml:space="preserve">Link</t>
  </si>
  <si>
    <t xml:space="preserve">Senior PI</t>
  </si>
  <si>
    <t xml:space="preserve">Thread</t>
  </si>
  <si>
    <t xml:space="preserve">Note</t>
  </si>
  <si>
    <t xml:space="preserve">Direct Prediction of Phonon DOS with Euclidean Neural Networks (SEED)</t>
  </si>
  <si>
    <t xml:space="preserve">2021</t>
  </si>
  <si>
    <t xml:space="preserve">Advanced Science</t>
  </si>
  <si>
    <t xml:space="preserve">https://doi.org/10.1002/advs.202004214</t>
  </si>
  <si>
    <t xml:space="preserve">phonon-ML</t>
  </si>
  <si>
    <t xml:space="preserve">Seed</t>
  </si>
  <si>
    <t xml:space="preserve">Virtual node GNN for full phonon prediction</t>
  </si>
  <si>
    <t xml:space="preserve">2023</t>
  </si>
  <si>
    <t xml:space="preserve">Nature Comput. Sci.</t>
  </si>
  <si>
    <t xml:space="preserve">https://arxiv.org/abs/2301.02197</t>
  </si>
  <si>
    <t xml:space="preserve">DOS to full dispersion</t>
  </si>
  <si>
    <t xml:space="preserve">Foundation model for defect identification from vibrational spectra</t>
  </si>
  <si>
    <t xml:space="preserve">2025</t>
  </si>
  <si>
    <t xml:space="preserve">Matter</t>
  </si>
  <si>
    <t xml:space="preserve">https://arxiv.org/abs/2506.00725</t>
  </si>
  <si>
    <t xml:space="preserve">scattering-ML</t>
  </si>
  <si>
    <t xml:space="preserve">AI-driven defect engineering for thermoelectrics</t>
  </si>
  <si>
    <t xml:space="preserve">Adv. Materials</t>
  </si>
  <si>
    <t xml:space="preserve">https://arxiv.org/abs/2503.19148</t>
  </si>
  <si>
    <t xml:space="preserve">thermal-transport</t>
  </si>
  <si>
    <t xml:space="preserve">Universal ensemble-embedding GNN for optical spectra</t>
  </si>
  <si>
    <t xml:space="preserve">2024</t>
  </si>
  <si>
    <t xml:space="preserve">Advanced Materials</t>
  </si>
  <si>
    <t xml:space="preserve">https://doi.org/10.1002/adma.202409175</t>
  </si>
  <si>
    <t xml:space="preserve">equivariant-NN</t>
  </si>
  <si>
    <t xml:space="preserve">Structural constraint integration in generative model for quantum materials</t>
  </si>
  <si>
    <t xml:space="preserve">Nature Materials</t>
  </si>
  <si>
    <t xml:space="preserve">https://doi.org/10.1038/s41563-025-02355-y</t>
  </si>
  <si>
    <t xml:space="preserve">other</t>
  </si>
  <si>
    <t xml:space="preserve">Machine-learning spectral indicators of topology</t>
  </si>
  <si>
    <t xml:space="preserve">2022</t>
  </si>
  <si>
    <t xml:space="preserve">https://doi.org/10.1002/adma.202204113</t>
  </si>
  <si>
    <t xml:space="preserve">ML magnetism classifiers from atomic coordinates</t>
  </si>
  <si>
    <t xml:space="preserve">iScience</t>
  </si>
  <si>
    <t xml:space="preserve">https://doi.org/10.1016/j.isci.2022.105192</t>
  </si>
  <si>
    <t xml:space="preserve">with Smidt</t>
  </si>
  <si>
    <t xml:space="preserve">Machine learning on neutron and x-ray scattering (review)</t>
  </si>
  <si>
    <t xml:space="preserve">Chem. Phys. Rev.</t>
  </si>
  <si>
    <t xml:space="preserve">https://arxiv.org/abs/2102.03024</t>
  </si>
  <si>
    <t xml:space="preserve">Challenges and opportunities of ML on neutron and x-ray scattering</t>
  </si>
  <si>
    <t xml:space="preserve">Synchrotron Rad. News</t>
  </si>
  <si>
    <t xml:space="preserve">https://doi.org/10.1080/08940886.2022.2112498</t>
  </si>
  <si>
    <t xml:space="preserve">e3nn: Euclidean neural networks</t>
  </si>
  <si>
    <t xml:space="preserve">arXiv</t>
  </si>
  <si>
    <t xml:space="preserve">https://arxiv.org/abs/2207.09453</t>
  </si>
  <si>
    <t xml:space="preserve">Framework under the seed</t>
  </si>
  <si>
    <t xml:space="preserve">Phonon predictions with E(3)-equivariant GNNs (Phonax)</t>
  </si>
  <si>
    <t xml:space="preserve">https://arxiv.org/abs/2403.11347</t>
  </si>
  <si>
    <t xml:space="preserve">Checkelsky co-PI</t>
  </si>
  <si>
    <t xml:space="preserve">NequIP: E(3)-equivariant interatomic potentials</t>
  </si>
  <si>
    <t xml:space="preserve">Nature Commun.</t>
  </si>
  <si>
    <t xml:space="preserve">https://arxiv.org/abs/2101.03164</t>
  </si>
  <si>
    <t xml:space="preserve">Allegro: local equivariant representations</t>
  </si>
  <si>
    <t xml:space="preserve">https://arxiv.org/abs/2204.05249</t>
  </si>
  <si>
    <t xml:space="preserve">Uncertainty-aware MD from Bayesian active learning (SiC)</t>
  </si>
  <si>
    <t xml:space="preserve">npj Comput. Mater.</t>
  </si>
  <si>
    <t xml:space="preserve">https://doi.org/10.1038/s41524-023-00988-8</t>
  </si>
  <si>
    <t xml:space="preserve">Bayesian UQ</t>
  </si>
  <si>
    <t xml:space="preserve">Tensorial spectra with equivariant GNN (TSENN)</t>
  </si>
  <si>
    <t xml:space="preserve">https://arxiv.org/abs/2505.04862</t>
  </si>
  <si>
    <t xml:space="preserve">Cites seed</t>
  </si>
  <si>
    <t xml:space="preserve">ML for ensemble properties of disordered materials</t>
  </si>
  <si>
    <t xml:space="preserve">ACS Nano</t>
  </si>
  <si>
    <t xml:space="preserve">https://arxiv.org/abs/2506.15652</t>
  </si>
  <si>
    <t xml:space="preserve">Surrogate- and invariance-boosted contrastive learning</t>
  </si>
  <si>
    <t xml:space="preserve">https://arxiv.org/abs/2110.08406</t>
  </si>
  <si>
    <t xml:space="preserve">Predicting band gap from chemical composition</t>
  </si>
  <si>
    <t xml:space="preserve">https://arxiv.org/abs/2501.02932</t>
  </si>
  <si>
    <t xml:space="preserve">Superconductor discovery via deep learning of electron-phonon spectral function</t>
  </si>
  <si>
    <t xml:space="preserve">https://arxiv.org/abs/2401.16611</t>
  </si>
  <si>
    <t xml:space="preserve">Hirschfeld co-author</t>
  </si>
  <si>
    <t xml:space="preserve">Guided diffusion for discovery of superconductors</t>
  </si>
  <si>
    <t xml:space="preserve">https://arxiv.org/abs/2509.25186</t>
  </si>
  <si>
    <t xml:space="preserve">Universal harmonic interatomic potential for phonons</t>
  </si>
  <si>
    <t xml:space="preserve">Appl. Phys. Lett.</t>
  </si>
  <si>
    <t xml:space="preserve">https://arxiv.org/abs/2402.11383</t>
  </si>
  <si>
    <t xml:space="preserve">High-throughput phonons via ML universal potentials</t>
  </si>
  <si>
    <t xml:space="preserve">Mater. Today Phys.</t>
  </si>
  <si>
    <t xml:space="preserve">https://arxiv.org/abs/2407.09674</t>
  </si>
  <si>
    <t xml:space="preserve">Phonon DOS by crystal attention GNN</t>
  </si>
  <si>
    <t xml:space="preserve">https://doi.org/10.1016/j.mtphys.2024.101632</t>
  </si>
  <si>
    <t xml:space="preserve">Direct competitor</t>
  </si>
  <si>
    <t xml:space="preserve">ML prediction of phonon scattering rates and thermal conductivity</t>
  </si>
  <si>
    <t xml:space="preserve">https://doi.org/10.1038/s41524-023-01020-9</t>
  </si>
  <si>
    <t xml:space="preserve">Obscured phonon dynamics from powder INS using ML</t>
  </si>
  <si>
    <t xml:space="preserve">Mach. Learn.: Sci. Technol.</t>
  </si>
  <si>
    <t xml:space="preserve">https://doi.org/10.1088/2632-2153/ad79b6</t>
  </si>
  <si>
    <t xml:space="preserve">VAE</t>
  </si>
  <si>
    <t xml:space="preserve">ML inversion of force constants from single-crystal INS</t>
  </si>
  <si>
    <t xml:space="preserve">2026</t>
  </si>
  <si>
    <t xml:space="preserve">Digital Discovery</t>
  </si>
  <si>
    <t xml:space="preserve">https://doi.org/10.1039/d6dd00008h</t>
  </si>
  <si>
    <t xml:space="preserve">RamanGPT: crystal structures to Raman spectra</t>
  </si>
  <si>
    <t xml:space="preserve">https://arxiv.org/abs/2606.03764</t>
  </si>
  <si>
    <t xml:space="preserve">Heat capacity estimation of complex materials</t>
  </si>
  <si>
    <t xml:space="preserve">Joule</t>
  </si>
  <si>
    <t xml:space="preserve">https://doi.org/10.1016/j.joule.2025.102054</t>
  </si>
  <si>
    <t xml:space="preserve">Xtal2DoS: crystal-to-sequence DOS prediction</t>
  </si>
  <si>
    <t xml:space="preserve">https://arxiv.org/abs/2302.01486</t>
  </si>
  <si>
    <t xml:space="preserve">Interpretable unsupervised ML for x-ray diffraction (XTEC)</t>
  </si>
  <si>
    <t xml:space="preserve">PNAS</t>
  </si>
  <si>
    <t xml:space="preserve">https://doi.org/10.1073/pnas.2109665119</t>
  </si>
  <si>
    <t xml:space="preserve">Bragg glass signatures in PdxErTe3 via XRD temperature clustering</t>
  </si>
  <si>
    <t xml:space="preserve">Nature Physics</t>
  </si>
  <si>
    <t xml:space="preserve">https://doi.org/10.1038/s41567-023-02380-1</t>
  </si>
  <si>
    <t xml:space="preserve">ML + neutron scattering for Hamiltonian tuning of spin ice</t>
  </si>
  <si>
    <t xml:space="preserve">Commun. Materials</t>
  </si>
  <si>
    <t xml:space="preserve">https://doi.org/10.1038/s43246-022-00306-7</t>
  </si>
  <si>
    <t xml:space="preserve">Done at ORNL</t>
  </si>
  <si>
    <t xml:space="preserve">Data-driven compression of electron-phonon interactions</t>
  </si>
  <si>
    <t xml:space="preserve">Phys. Rev. X</t>
  </si>
  <si>
    <t xml:space="preserve">https://doi.org/10.1103/PhysRevX.14.021023</t>
  </si>
  <si>
    <t xml:space="preserve">Learning ordering in crystals with symmetry-aware GNNs</t>
  </si>
  <si>
    <t xml:space="preserve">https://arxiv.org/abs/2409.13851</t>
  </si>
  <si>
    <t xml:space="preserve">GNNs for crystal structures: capturing periodicity</t>
  </si>
  <si>
    <t xml:space="preserve">Science Advances</t>
  </si>
  <si>
    <t xml:space="preserve">https://arxiv.org/abs/2208.05039</t>
  </si>
  <si>
    <t xml:space="preserve">Mixture-of-experts for data scarcity in materials</t>
  </si>
  <si>
    <t xml:space="preserve">https://arxiv.org/abs/2207.13880</t>
  </si>
  <si>
    <t xml:space="preserve">Periodic graph transformers for crystal property prediction</t>
  </si>
  <si>
    <t xml:space="preserve">NeurIPS</t>
  </si>
  <si>
    <t xml:space="preserve">https://arxiv.org/abs/2209.11807</t>
  </si>
  <si>
    <t xml:space="preserve">Uncertainty-aware Hamiltonian inference and experimental design in quantum magnets</t>
  </si>
  <si>
    <t xml:space="preserve">https://arxiv.org/abs/2608.10350</t>
  </si>
  <si>
    <t xml:space="preserve">A-bayesian</t>
  </si>
  <si>
    <t xml:space="preserve">Closest to FORGE Laplace/HMC</t>
  </si>
  <si>
    <t xml:space="preserve">Active learning for phase diagrams with Gaussian processes</t>
  </si>
  <si>
    <t xml:space="preserve">arXiv / NeurIPS ML4PS</t>
  </si>
  <si>
    <t xml:space="preserve">https://arxiv.org/abs/2409.07042</t>
  </si>
  <si>
    <t xml:space="preserve">ML reconstruction of electronic structure from ARPES</t>
  </si>
  <si>
    <t xml:space="preserve">https://arxiv.org/abs/2603.16725</t>
  </si>
  <si>
    <t xml:space="preserve">B-cmp-ml</t>
  </si>
  <si>
    <t xml:space="preserve">Physically constrained ensemble GP for quantum systems w/ heteroskedastic noise</t>
  </si>
  <si>
    <t xml:space="preserve">https://arxiv.org/abs/2606.11240</t>
  </si>
  <si>
    <t xml:space="preserve">Compact spin-charge separated neural quantum states</t>
  </si>
  <si>
    <t xml:space="preserve">https://arxiv.org/abs/2606.17045</t>
  </si>
  <si>
    <t xml:space="preserve">Approaching the inverse neutron scattering problem with NNs</t>
  </si>
  <si>
    <t xml:space="preserve">https://arxiv.org/abs/2609.22535</t>
  </si>
  <si>
    <t xml:space="preserve">Autoencoder-assisted Bayesian optimization for defect structure refinement</t>
  </si>
  <si>
    <t xml:space="preserve">https://arxiv.org/abs/2601.00855</t>
  </si>
  <si>
    <t xml:space="preserve">Bayesian optimization co-optimizing noise and discovery</t>
  </si>
  <si>
    <t xml:space="preserve">https://doi.org/10.1039/d4dd00391h</t>
  </si>
  <si>
    <t xml:space="preserve">Human-guided multi-objective Bayesian optimization in SPM</t>
  </si>
  <si>
    <t xml:space="preserve">Nano Letters</t>
  </si>
  <si>
    <t xml:space="preserve">https://doi.org/10.1021/acs.nanolett.5c05373</t>
  </si>
  <si>
    <t xml:space="preserve">RIXS Hamiltonian inference with Bayesian optimization</t>
  </si>
  <si>
    <t xml:space="preserve">Phys. Rev. B</t>
  </si>
  <si>
    <t xml:space="preserve">https://doi.org/10.1103/tnqm-ttj3</t>
  </si>
  <si>
    <t xml:space="preserve">Senior author Mark Dean (BNL)</t>
  </si>
  <si>
    <t xml:space="preserve">Unifying view of fermionic neural network quantum states</t>
  </si>
  <si>
    <t xml:space="preserve">https://arxiv.org/abs/2311.09450</t>
  </si>
  <si>
    <t xml:space="preserve">Neural network backflow for ab-initio solids</t>
  </si>
  <si>
    <t xml:space="preserve">https://arxiv.org/abs/2603.14775</t>
  </si>
  <si>
    <t xml:space="preserve">Expressivity of determinantal ansatzes for NN wave functions</t>
  </si>
  <si>
    <t xml:space="preserve">JCTC</t>
  </si>
  <si>
    <t xml:space="preserve">https://arxiv.org/abs/2506.00155</t>
  </si>
  <si>
    <t xml:space="preserve">Renormalized density matrix downfolding</t>
  </si>
  <si>
    <t xml:space="preserve">https://doi.org/10.1103/PhysRevB.110.195103</t>
  </si>
  <si>
    <t xml:space="preserve">Fractional electron states in twisted MoTe2 with deep NN</t>
  </si>
  <si>
    <t xml:space="preserve">https://arxiv.org/abs/2503.13585</t>
  </si>
  <si>
    <t xml:space="preserve">Di Luo first author</t>
  </si>
  <si>
    <t xml:space="preserve">Simulating moire quantum matter with neural network</t>
  </si>
  <si>
    <t xml:space="preserve">https://arxiv.org/abs/2406.17645</t>
  </si>
  <si>
    <t xml:space="preserve">Fractional quantum Hall wavefunctions with neural network</t>
  </si>
  <si>
    <t xml:space="preserve">https://arxiv.org/abs/2412.00618</t>
  </si>
  <si>
    <t xml:space="preserve">ShadowGPT: quantum many-body from randomized measurements</t>
  </si>
  <si>
    <t xml:space="preserve">https://arxiv.org/abs/2411.03285</t>
  </si>
  <si>
    <t xml:space="preserve">Learning by confusion: phase diagram of the Holstein model</t>
  </si>
  <si>
    <t xml:space="preserve">https://arxiv.org/abs/2501.04681</t>
  </si>
  <si>
    <t xml:space="preserve">Electron-phonon</t>
  </si>
  <si>
    <t xml:space="preserve">Compact representation of real-frequency spectral functions for ML</t>
  </si>
  <si>
    <t xml:space="preserve">https://arxiv.org/abs/2607.11190</t>
  </si>
  <si>
    <t xml:space="preserve">ML magnetization dynamics in metallic spin systems</t>
  </si>
  <si>
    <t xml:space="preserve">https://arxiv.org/abs/2604.11513</t>
  </si>
  <si>
    <t xml:space="preserve">ML force-field approach for itinerant electron magnets</t>
  </si>
  <si>
    <t xml:space="preserve">https://arxiv.org/abs/2501.06171</t>
  </si>
  <si>
    <t xml:space="preserve">ML materials properties with uncertainty estimates and domain guidance</t>
  </si>
  <si>
    <t xml:space="preserve">https://arxiv.org/abs/2406.15650</t>
  </si>
  <si>
    <t xml:space="preserve">Ensemble UQ methods for NN interatomic potentials</t>
  </si>
  <si>
    <t xml:space="preserve">https://arxiv.org/abs/2508.06456</t>
  </si>
  <si>
    <t xml:space="preserve">Transtrum last author (left BYU)</t>
  </si>
  <si>
    <t xml:space="preserve">UQ and propagation in atomistic ML (review)</t>
  </si>
  <si>
    <t xml:space="preserve">https://arxiv.org/abs/2405.02461</t>
  </si>
  <si>
    <t xml:space="preserve">Can machines learn density functionals? (review)</t>
  </si>
  <si>
    <t xml:space="preserve">https://arxiv.org/abs/2503.01709</t>
  </si>
  <si>
    <t xml:space="preserve">Ultrahigh-Q torsional nanomechanics through Bayesian optimization</t>
  </si>
  <si>
    <t xml:space="preserve">https://doi.org/10.1021/acs.nanolett.5c06306</t>
  </si>
  <si>
    <t xml:space="preserve">ML-methods</t>
  </si>
  <si>
    <t xml:space="preserve">Bayesian opt of phononic modes</t>
  </si>
  <si>
    <t xml:space="preserve">Imaging-based quantum optomechanics</t>
  </si>
  <si>
    <t xml:space="preserve">Phys. Rev. Lett.</t>
  </si>
  <si>
    <t xml:space="preserve">https://doi.org/10.1103/64xv-3fyx</t>
  </si>
  <si>
    <t xml:space="preserve">quantum</t>
  </si>
  <si>
    <t xml:space="preserve">A bright future for topological acoustics</t>
  </si>
  <si>
    <t xml:space="preserve">https://doi.org/10.1038/s41467-025-61380-2</t>
  </si>
  <si>
    <t xml:space="preserve">phonon</t>
  </si>
  <si>
    <t xml:space="preserve">Shor's algorithm with topological acoustic phase bits</t>
  </si>
  <si>
    <t xml:space="preserve">Commun. Engineering</t>
  </si>
  <si>
    <t xml:space="preserve">https://doi.org/10.1038/s44172-026-00623-6</t>
  </si>
  <si>
    <t xml:space="preserve">Composite superlattice RF surface-acoustic-wave devices</t>
  </si>
  <si>
    <t xml:space="preserve">Phys. Rev. Applied</t>
  </si>
  <si>
    <t xml:space="preserve">https://doi.org/10.1103/p8q7-r6ck</t>
  </si>
  <si>
    <t xml:space="preserve">semiconductor</t>
  </si>
  <si>
    <t xml:space="preserve">Mutlu co-author</t>
  </si>
  <si>
    <t xml:space="preserve">Phonon lifetimes in B-isotope graphene-hBN devices</t>
  </si>
  <si>
    <t xml:space="preserve">Phys. Status Solidi RRL</t>
  </si>
  <si>
    <t xml:space="preserve">https://doi.org/10.1002/pssr.202200030</t>
  </si>
  <si>
    <t xml:space="preserve">cmp-experiment</t>
  </si>
  <si>
    <t xml:space="preserve">Sandhu co-author</t>
  </si>
  <si>
    <t xml:space="preserve">Defects and phonons in bandgap dynamics of monolayer WS2</t>
  </si>
  <si>
    <t xml:space="preserve">J. Phys.: Materials</t>
  </si>
  <si>
    <t xml:space="preserve">https://doi.org/10.1088/2515-7639/abc13b</t>
  </si>
  <si>
    <t xml:space="preserve">with Schaibley, LeRoy</t>
  </si>
  <si>
    <t xml:space="preserve">Imaging interlayer exciton superfluidity in 2D heterostructure</t>
  </si>
  <si>
    <t xml:space="preserve">https://doi.org/10.1126/sciadv.adr1772</t>
  </si>
  <si>
    <t xml:space="preserve">with LeRoy</t>
  </si>
  <si>
    <t xml:space="preserve">Nanoscale trapping of interlayer excitons</t>
  </si>
  <si>
    <t xml:space="preserve">https://doi.org/10.1021/acs.nanolett.1c01215</t>
  </si>
  <si>
    <t xml:space="preserve">Atomically precise graphene nanoribbon transistors</t>
  </si>
  <si>
    <t xml:space="preserve">https://doi.org/10.1021/acsnano.4c04097</t>
  </si>
  <si>
    <t xml:space="preserve">9-AGNR transistors under gamma irradiation</t>
  </si>
  <si>
    <t xml:space="preserve">ACS AMI</t>
  </si>
  <si>
    <t xml:space="preserve">https://doi.org/10.1021/acsami.6c02516</t>
  </si>
  <si>
    <t xml:space="preserve">HEP bridge</t>
  </si>
  <si>
    <t xml:space="preserve">Oxidized van der Waals TMDs (review)</t>
  </si>
  <si>
    <t xml:space="preserve">https://doi.org/10.1002/advs.202407175</t>
  </si>
  <si>
    <t xml:space="preserve">Work sum rule for open quantum systems</t>
  </si>
  <si>
    <t xml:space="preserve">https://doi.org/10.1103/PhysRevLett.133.070404</t>
  </si>
  <si>
    <t xml:space="preserve">cmp-theory</t>
  </si>
  <si>
    <t xml:space="preserve">Persistent vs dissipative Peltier effect in topological thermocouple</t>
  </si>
  <si>
    <t xml:space="preserve">https://arxiv.org/abs/2410.06312</t>
  </si>
  <si>
    <t xml:space="preserve">Layered ferromagnet Cr1.21Te2</t>
  </si>
  <si>
    <t xml:space="preserve">Phys. Rev. Materials</t>
  </si>
  <si>
    <t xml:space="preserve">https://doi.org/10.1103/PhysRevMaterials.7.044406</t>
  </si>
  <si>
    <t xml:space="preserve">Shastry-Sutherland compound BaNd2ZnS5</t>
  </si>
  <si>
    <t xml:space="preserve">https://doi.org/10.1103/PhysRevMaterials.6.104403</t>
  </si>
  <si>
    <t xml:space="preserve">Triplet-triplet multiexciton states in polypentacene</t>
  </si>
  <si>
    <t xml:space="preserve">J. Chem. Phys.</t>
  </si>
  <si>
    <t xml:space="preserve">https://arxiv.org/abs/2607.03706</t>
  </si>
  <si>
    <t xml:space="preserve">Light-induced quantum tunnelling current in graphene</t>
  </si>
  <si>
    <t xml:space="preserve">https://doi.org/10.1038/s41467-025-59675-5</t>
  </si>
  <si>
    <t xml:space="preserve">with Golubev</t>
  </si>
  <si>
    <t xml:space="preserve">Attosecond electron microscopy and diffraction</t>
  </si>
  <si>
    <t xml:space="preserve">https://doi.org/10.1126/sciadv.adp5805</t>
  </si>
  <si>
    <t xml:space="preserve">Attosecond diffraction imaging of electron dynamics in solids</t>
  </si>
  <si>
    <t xml:space="preserve">Phys. Rev. Research</t>
  </si>
  <si>
    <t xml:space="preserve">https://doi.org/10.1103/PhysRevResearch.7.L022042</t>
  </si>
  <si>
    <t xml:space="preserve">IR absorbance of hydrocarbons via message-passing NN</t>
  </si>
  <si>
    <t xml:space="preserve">J. Phys. Chem. A</t>
  </si>
  <si>
    <t xml:space="preserve">https://doi.org/10.1021/acs.jpca.4c06745</t>
  </si>
  <si>
    <t xml:space="preserve">Closest UA methods match</t>
  </si>
  <si>
    <t xml:space="preserve">Microstructure-property ML via vision transformers</t>
  </si>
  <si>
    <t xml:space="preserve">Acta Materialia</t>
  </si>
  <si>
    <t xml:space="preserve">https://arxiv.org/abs/2501.18637</t>
  </si>
  <si>
    <t xml:space="preserve">In-plane thermal conductivity of strained Si thin films</t>
  </si>
  <si>
    <t xml:space="preserve">J. Appl. Phys.</t>
  </si>
  <si>
    <t xml:space="preserve">https://doi.org/10.1063/5.0125422</t>
  </si>
  <si>
    <t xml:space="preserve">Heat conductance of graphene-sericin hybrid</t>
  </si>
  <si>
    <t xml:space="preserve">Adv. Funct. Mater.</t>
  </si>
  <si>
    <t xml:space="preserve">https://doi.org/10.1002/adfm.202111121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</si>
</sst>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ac" displayName="Fac" ref="A1:K60" headerRowCount="1" totalsRowCount="0" totalsRowShown="0">
  <autoFilter ref="A1:K60"/>
  <tableColumns count="11">
    <tableColumn id="1" name="PI"/>
    <tableColumn id="2" name="University"/>
    <tableColumn id="3" name="State"/>
    <tableColumn id="4" name="Department"/>
    <tableColumn id="5" name="Physics dept"/>
    <tableColumn id="6" name="Fit (1-5)"/>
    <tableColumn id="7" name="Sweep"/>
    <tableColumn id="8" name="Note / flag"/>
    <tableColumn id="9" name="Page"/>
    <tableColumn id="10" name="Rank in school"/>
    <tableColumn id="11" name="Papers"/>
  </tableColumns>
</table>
</file>

<file path=xl/tables/table2.xml><?xml version="1.0" encoding="utf-8"?>
<table xmlns="http://schemas.openxmlformats.org/spreadsheetml/2006/main" id="2" name="Pap" displayName="Pap" ref="A1:H89" headerRowCount="1" totalsRowCount="0" totalsRowShown="0">
  <autoFilter ref="A1:H89"/>
  <tableColumns count="8">
    <tableColumn id="1" name="Title"/>
    <tableColumn id="2" name="Year"/>
    <tableColumn id="3" name="Venue"/>
    <tableColumn id="4" name="Link"/>
    <tableColumn id="5" name="Senior PI"/>
    <tableColumn id="6" name="University"/>
    <tableColumn id="7" name="Thread"/>
    <tableColumn id="8" name="Note"/>
  </tableColumns>
</table>
</file>

<file path=xl/tables/table3.xml><?xml version="1.0" encoding="utf-8"?>
<table xmlns="http://schemas.openxmlformats.org/spreadsheetml/2006/main" id="3" name="Univ" displayName="Univ" ref="A1:J29" headerRowCount="1" totalsRowCount="0" totalsRowShown="0">
  <autoFilter ref="A1:J29"/>
  <tableColumns count="10">
    <tableColumn id="1" name="Rank"/>
    <tableColumn id="2" name="University"/>
    <tableColumn id="3" name="State"/>
    <tableColumn id="4" name="PIs"/>
    <tableColumn id="5" name="Physics PIs (Y)"/>
    <tableColumn id="6" name="Partial PIs"/>
    <tableColumn id="7" name="Total fit"/>
    <tableColumn id="8" name="Best PI fit"/>
    <tableColumn id="9" name="Score"/>
    <tableColumn id="10" name="Pap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profiles.arizona.edu/person/dalziel" TargetMode="External"/><Relationship Id="rId2" Type="http://schemas.openxmlformats.org/officeDocument/2006/relationships/hyperlink" Target="https://leroylab.arizona.edu/publications.html" TargetMode="External"/><Relationship Id="rId3" Type="http://schemas.openxmlformats.org/officeDocument/2006/relationships/hyperlink" Target="https://physics.arizona.edu/people/john-schaibley" TargetMode="External"/><Relationship Id="rId4" Type="http://schemas.openxmlformats.org/officeDocument/2006/relationships/hyperlink" Target="https://mse.engineering.arizona.edu/faculty-staff" TargetMode="External"/><Relationship Id="rId5" Type="http://schemas.openxmlformats.org/officeDocument/2006/relationships/hyperlink" Target="https://stafford.physics.arizona.edu/publications.html" TargetMode="External"/><Relationship Id="rId6" Type="http://schemas.openxmlformats.org/officeDocument/2006/relationships/hyperlink" Target="https://zafermutlu.arizona.edu/publications" TargetMode="External"/><Relationship Id="rId7" Type="http://schemas.openxmlformats.org/officeDocument/2006/relationships/hyperlink" Target="https://profiles.arizona.edu/person/briankim" TargetMode="External"/><Relationship Id="rId8" Type="http://schemas.openxmlformats.org/officeDocument/2006/relationships/hyperlink" Target="https://sites.google.com/view/kong-lab/publications" TargetMode="External"/><Relationship Id="rId9" Type="http://schemas.openxmlformats.org/officeDocument/2006/relationships/hyperlink" Target="https://bredators.arizona.edu/publications" TargetMode="External"/><Relationship Id="rId10" Type="http://schemas.openxmlformats.org/officeDocument/2006/relationships/hyperlink" Target="https://physics.arizona.edu/people/sumit-mazumdar" TargetMode="External"/><Relationship Id="rId11" Type="http://schemas.openxmlformats.org/officeDocument/2006/relationships/hyperlink" Target="https://sites.arizona.edu/mohammedhassan/publications/" TargetMode="External"/><Relationship Id="rId12" Type="http://schemas.openxmlformats.org/officeDocument/2006/relationships/hyperlink" Target="https://ngolubev.com/publications/" TargetMode="External"/><Relationship Id="rId13" Type="http://schemas.openxmlformats.org/officeDocument/2006/relationships/hyperlink" Target="https://physics.arizona.edu/" TargetMode="External"/><Relationship Id="rId14" Type="http://schemas.openxmlformats.org/officeDocument/2006/relationships/hyperlink" Target="https://mse.engineering.arizona.edu/faculty-staff" TargetMode="External"/><Relationship Id="rId15" Type="http://schemas.openxmlformats.org/officeDocument/2006/relationships/hyperlink" Target="https://profiles.arizona.edu/person/qinghao" TargetMode="External"/><Relationship Id="rId16" Type="http://schemas.openxmlformats.org/officeDocument/2006/relationships/hyperlink" Target="https://quantummaterials.utk.edu/affiliates/affiliates-alan-tennant/" TargetMode="External"/><Relationship Id="rId17" Type="http://schemas.openxmlformats.org/officeDocument/2006/relationships/hyperlink" Target="https://physics.utk.edu/people/instructional-faculty/del-maestro-adrian/" TargetMode="External"/><Relationship Id="rId18" Type="http://schemas.openxmlformats.org/officeDocument/2006/relationships/hyperlink" Target="https://physics.utk.edu/people/instructional-faculty/zhang-yang/" TargetMode="External"/><Relationship Id="rId19" Type="http://schemas.openxmlformats.org/officeDocument/2006/relationships/hyperlink" Target="https://physics.utk.edu/people/instructional-faculty/batista-cristian-d/" TargetMode="External"/><Relationship Id="rId20" Type="http://schemas.openxmlformats.org/officeDocument/2006/relationships/hyperlink" Target="https://physics.utk.edu/" TargetMode="External"/><Relationship Id="rId21" Type="http://schemas.openxmlformats.org/officeDocument/2006/relationships/hyperlink" Target="https://tickle.utk.edu/mse/faculty/sergei-kalinin/" TargetMode="External"/><Relationship Id="rId22" Type="http://schemas.openxmlformats.org/officeDocument/2006/relationships/hyperlink" Target="https://bredesencenter.utk.edu/faculty/arpan-biswas/" TargetMode="External"/><Relationship Id="rId23" Type="http://schemas.openxmlformats.org/officeDocument/2006/relationships/hyperlink" Target="https://nse.mit.edu/people/mingda-li/" TargetMode="External"/><Relationship Id="rId24" Type="http://schemas.openxmlformats.org/officeDocument/2006/relationships/hyperlink" Target="https://www.eecs.mit.edu/people/tess-smidt/" TargetMode="External"/><Relationship Id="rId25" Type="http://schemas.openxmlformats.org/officeDocument/2006/relationships/hyperlink" Target="https://physics.mit.edu/faculty/liang-fu/" TargetMode="External"/><Relationship Id="rId26" Type="http://schemas.openxmlformats.org/officeDocument/2006/relationships/hyperlink" Target="https://physics.mit.edu/faculty/marin-soljacic/" TargetMode="External"/><Relationship Id="rId27" Type="http://schemas.openxmlformats.org/officeDocument/2006/relationships/hyperlink" Target="https://physics.mit.edu/faculty/joseph-checkelsky/" TargetMode="External"/><Relationship Id="rId28" Type="http://schemas.openxmlformats.org/officeDocument/2006/relationships/hyperlink" Target="https://mrl.mit.edu/PIs/Rafael-Gomez-Bombarelli" TargetMode="External"/><Relationship Id="rId29" Type="http://schemas.openxmlformats.org/officeDocument/2006/relationships/hyperlink" Target="https://dmse.mit.edu/people/faculty/jeffrey-grossman/" TargetMode="External"/><Relationship Id="rId30" Type="http://schemas.openxmlformats.org/officeDocument/2006/relationships/hyperlink" Target="https://phys.ufl.edu/people/faculty/chunjing-jia/" TargetMode="External"/><Relationship Id="rId31" Type="http://schemas.openxmlformats.org/officeDocument/2006/relationships/hyperlink" Target="https://mse.ufl.edu/people/faculty/name/richard-hennig/" TargetMode="External"/><Relationship Id="rId32" Type="http://schemas.openxmlformats.org/officeDocument/2006/relationships/hyperlink" Target="https://phys.ufl.edu/" TargetMode="External"/><Relationship Id="rId33" Type="http://schemas.openxmlformats.org/officeDocument/2006/relationships/hyperlink" Target="https://physics.illinois.edu/people/directory/profile/bkclark" TargetMode="External"/><Relationship Id="rId34" Type="http://schemas.openxmlformats.org/officeDocument/2006/relationships/hyperlink" Target="https://physics.illinois.edu/people/directory/profile/lkwagner" TargetMode="External"/><Relationship Id="rId35" Type="http://schemas.openxmlformats.org/officeDocument/2006/relationships/hyperlink" Target="https://mechse.illinois.edu/people/profile/ertekin" TargetMode="External"/><Relationship Id="rId36" Type="http://schemas.openxmlformats.org/officeDocument/2006/relationships/hyperlink" Target="https://physics.cornell.edu/eun-ah-kim" TargetMode="External"/><Relationship Id="rId37" Type="http://schemas.openxmlformats.org/officeDocument/2006/relationships/hyperlink" Target="https://www.cs.cornell.edu/people/carla-gomes" TargetMode="External"/><Relationship Id="rId38" Type="http://schemas.openxmlformats.org/officeDocument/2006/relationships/hyperlink" Target="https://cos.northeastern.edu/wp-content/uploads/2024/12/CV_Qimin_Yan.pdf" TargetMode="External"/><Relationship Id="rId39" Type="http://schemas.openxmlformats.org/officeDocument/2006/relationships/hyperlink" Target="https://www.aphms.caltech.edu/people/bmarco" TargetMode="External"/><Relationship Id="rId40" Type="http://schemas.openxmlformats.org/officeDocument/2006/relationships/hyperlink" Target="https://everettyou.github.io/people/YZYou" TargetMode="External"/><Relationship Id="rId41" Type="http://schemas.openxmlformats.org/officeDocument/2006/relationships/hyperlink" Target="https://physics.ucdavis.edu/directory/faculty/richard-scalettar" TargetMode="External"/><Relationship Id="rId42" Type="http://schemas.openxmlformats.org/officeDocument/2006/relationships/hyperlink" Target="https://fds.duke.edu/db/aas/Physics/researchers/olivier.delaire" TargetMode="External"/><Relationship Id="rId43" Type="http://schemas.openxmlformats.org/officeDocument/2006/relationships/hyperlink" Target="https://www.emory.edu/" TargetMode="External"/><Relationship Id="rId44" Type="http://schemas.openxmlformats.org/officeDocument/2006/relationships/hyperlink" Target="https://www.phys.virginia.edu/People/personal.asp?UID=gc6u" TargetMode="External"/><Relationship Id="rId45" Type="http://schemas.openxmlformats.org/officeDocument/2006/relationships/hyperlink" Target="https://ps.uci.edu/fprofile/kieron-burke/" TargetMode="External"/><Relationship Id="rId46" Type="http://schemas.openxmlformats.org/officeDocument/2006/relationships/hyperlink" Target="https://www.me.utexas.edu/people/faculty-directory/zchen" TargetMode="External"/><Relationship Id="rId47" Type="http://schemas.openxmlformats.org/officeDocument/2006/relationships/hyperlink" Target="https://mir.g.harvard.edu/people/boris-kozinsky" TargetMode="External"/><Relationship Id="rId48" Type="http://schemas.openxmlformats.org/officeDocument/2006/relationships/hyperlink" Target="https://lsa.umich.edu/physics/people/faculty/egull.html" TargetMode="External"/><Relationship Id="rId49" Type="http://schemas.openxmlformats.org/officeDocument/2006/relationships/hyperlink" Target="https://chenwli.com/" TargetMode="External"/><Relationship Id="rId50" Type="http://schemas.openxmlformats.org/officeDocument/2006/relationships/hyperlink" Target="https://diluo28.github.io/diluo.github.io/" TargetMode="External"/><Relationship Id="rId51" Type="http://schemas.openxmlformats.org/officeDocument/2006/relationships/hyperlink" Target="https://www.chee.uh.edu/faculty/wen-mingjian" TargetMode="External"/><Relationship Id="rId52" Type="http://schemas.openxmlformats.org/officeDocument/2006/relationships/hyperlink" Target="https://engineering.wisc.edu/directory/profile/dane-morgan" TargetMode="External"/><Relationship Id="rId53" Type="http://schemas.openxmlformats.org/officeDocument/2006/relationships/hyperlink" Target="https://engineering.jhu.edu/materials/faculty/kamal-choudhary/" TargetMode="External"/><Relationship Id="rId54" Type="http://schemas.openxmlformats.org/officeDocument/2006/relationships/hyperlink" Target="https://cse.umn.edu/aem/ellad-b-tadmor" TargetMode="External"/><Relationship Id="rId55" Type="http://schemas.openxmlformats.org/officeDocument/2006/relationships/hyperlink" Target="https://engineering.purdue.edu/ME/People/ptProfile?resource_id=29343" TargetMode="External"/><Relationship Id="rId56" Type="http://schemas.openxmlformats.org/officeDocument/2006/relationships/hyperlink" Target="https://sc.edu/study/colleges_schools/engineering_and_computing/faculty-staff/minghu.php" TargetMode="External"/><Relationship Id="rId57" Type="http://schemas.openxmlformats.org/officeDocument/2006/relationships/hyperlink" Target="https://www.pdx.edu/profile/yi-xia" TargetMode="External"/><Relationship Id="rId58" Type="http://schemas.openxmlformats.org/officeDocument/2006/relationships/hyperlink" Target="https://chemistry.uoregon.edu/profile/agne/" TargetMode="External"/><Relationship Id="rId59" Type="http://schemas.openxmlformats.org/officeDocument/2006/relationships/hyperlink" Target="https://engineering.tamu.edu/" TargetMode="External"/><Relationship Id="rId60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oi.org/10.1002/advs.202004214" TargetMode="External"/><Relationship Id="rId2" Type="http://schemas.openxmlformats.org/officeDocument/2006/relationships/hyperlink" Target="https://arxiv.org/abs/2301.02197" TargetMode="External"/><Relationship Id="rId3" Type="http://schemas.openxmlformats.org/officeDocument/2006/relationships/hyperlink" Target="https://arxiv.org/abs/2506.00725" TargetMode="External"/><Relationship Id="rId4" Type="http://schemas.openxmlformats.org/officeDocument/2006/relationships/hyperlink" Target="https://arxiv.org/abs/2503.19148" TargetMode="External"/><Relationship Id="rId5" Type="http://schemas.openxmlformats.org/officeDocument/2006/relationships/hyperlink" Target="https://doi.org/10.1002/adma.202409175" TargetMode="External"/><Relationship Id="rId6" Type="http://schemas.openxmlformats.org/officeDocument/2006/relationships/hyperlink" Target="https://doi.org/10.1038/s41563-025-02355-y" TargetMode="External"/><Relationship Id="rId7" Type="http://schemas.openxmlformats.org/officeDocument/2006/relationships/hyperlink" Target="https://doi.org/10.1002/adma.202204113" TargetMode="External"/><Relationship Id="rId8" Type="http://schemas.openxmlformats.org/officeDocument/2006/relationships/hyperlink" Target="https://doi.org/10.1016/j.isci.2022.105192" TargetMode="External"/><Relationship Id="rId9" Type="http://schemas.openxmlformats.org/officeDocument/2006/relationships/hyperlink" Target="https://arxiv.org/abs/2102.03024" TargetMode="External"/><Relationship Id="rId10" Type="http://schemas.openxmlformats.org/officeDocument/2006/relationships/hyperlink" Target="https://doi.org/10.1080/08940886.2022.2112498" TargetMode="External"/><Relationship Id="rId11" Type="http://schemas.openxmlformats.org/officeDocument/2006/relationships/hyperlink" Target="https://arxiv.org/abs/2207.09453" TargetMode="External"/><Relationship Id="rId12" Type="http://schemas.openxmlformats.org/officeDocument/2006/relationships/hyperlink" Target="https://arxiv.org/abs/2403.11347" TargetMode="External"/><Relationship Id="rId13" Type="http://schemas.openxmlformats.org/officeDocument/2006/relationships/hyperlink" Target="https://arxiv.org/abs/2101.03164" TargetMode="External"/><Relationship Id="rId14" Type="http://schemas.openxmlformats.org/officeDocument/2006/relationships/hyperlink" Target="https://arxiv.org/abs/2204.05249" TargetMode="External"/><Relationship Id="rId15" Type="http://schemas.openxmlformats.org/officeDocument/2006/relationships/hyperlink" Target="https://doi.org/10.1038/s41524-023-00988-8" TargetMode="External"/><Relationship Id="rId16" Type="http://schemas.openxmlformats.org/officeDocument/2006/relationships/hyperlink" Target="https://arxiv.org/abs/2505.04862" TargetMode="External"/><Relationship Id="rId17" Type="http://schemas.openxmlformats.org/officeDocument/2006/relationships/hyperlink" Target="https://arxiv.org/abs/2506.15652" TargetMode="External"/><Relationship Id="rId18" Type="http://schemas.openxmlformats.org/officeDocument/2006/relationships/hyperlink" Target="https://arxiv.org/abs/2110.08406" TargetMode="External"/><Relationship Id="rId19" Type="http://schemas.openxmlformats.org/officeDocument/2006/relationships/hyperlink" Target="https://arxiv.org/abs/2501.02932" TargetMode="External"/><Relationship Id="rId20" Type="http://schemas.openxmlformats.org/officeDocument/2006/relationships/hyperlink" Target="https://arxiv.org/abs/2401.16611" TargetMode="External"/><Relationship Id="rId21" Type="http://schemas.openxmlformats.org/officeDocument/2006/relationships/hyperlink" Target="https://arxiv.org/abs/2509.25186" TargetMode="External"/><Relationship Id="rId22" Type="http://schemas.openxmlformats.org/officeDocument/2006/relationships/hyperlink" Target="https://arxiv.org/abs/2402.11383" TargetMode="External"/><Relationship Id="rId23" Type="http://schemas.openxmlformats.org/officeDocument/2006/relationships/hyperlink" Target="https://arxiv.org/abs/2407.09674" TargetMode="External"/><Relationship Id="rId24" Type="http://schemas.openxmlformats.org/officeDocument/2006/relationships/hyperlink" Target="https://doi.org/10.1016/j.mtphys.2024.101632" TargetMode="External"/><Relationship Id="rId25" Type="http://schemas.openxmlformats.org/officeDocument/2006/relationships/hyperlink" Target="https://doi.org/10.1038/s41524-023-01020-9" TargetMode="External"/><Relationship Id="rId26" Type="http://schemas.openxmlformats.org/officeDocument/2006/relationships/hyperlink" Target="https://doi.org/10.1088/2632-2153/ad79b6" TargetMode="External"/><Relationship Id="rId27" Type="http://schemas.openxmlformats.org/officeDocument/2006/relationships/hyperlink" Target="https://doi.org/10.1039/d6dd00008h" TargetMode="External"/><Relationship Id="rId28" Type="http://schemas.openxmlformats.org/officeDocument/2006/relationships/hyperlink" Target="https://arxiv.org/abs/2606.03764" TargetMode="External"/><Relationship Id="rId29" Type="http://schemas.openxmlformats.org/officeDocument/2006/relationships/hyperlink" Target="https://doi.org/10.1016/j.joule.2025.102054" TargetMode="External"/><Relationship Id="rId30" Type="http://schemas.openxmlformats.org/officeDocument/2006/relationships/hyperlink" Target="https://arxiv.org/abs/2302.01486" TargetMode="External"/><Relationship Id="rId31" Type="http://schemas.openxmlformats.org/officeDocument/2006/relationships/hyperlink" Target="https://doi.org/10.1073/pnas.2109665119" TargetMode="External"/><Relationship Id="rId32" Type="http://schemas.openxmlformats.org/officeDocument/2006/relationships/hyperlink" Target="https://doi.org/10.1038/s41567-023-02380-1" TargetMode="External"/><Relationship Id="rId33" Type="http://schemas.openxmlformats.org/officeDocument/2006/relationships/hyperlink" Target="https://doi.org/10.1038/s43246-022-00306-7" TargetMode="External"/><Relationship Id="rId34" Type="http://schemas.openxmlformats.org/officeDocument/2006/relationships/hyperlink" Target="https://doi.org/10.1103/PhysRevX.14.021023" TargetMode="External"/><Relationship Id="rId35" Type="http://schemas.openxmlformats.org/officeDocument/2006/relationships/hyperlink" Target="https://arxiv.org/abs/2409.13851" TargetMode="External"/><Relationship Id="rId36" Type="http://schemas.openxmlformats.org/officeDocument/2006/relationships/hyperlink" Target="https://arxiv.org/abs/2208.05039" TargetMode="External"/><Relationship Id="rId37" Type="http://schemas.openxmlformats.org/officeDocument/2006/relationships/hyperlink" Target="https://arxiv.org/abs/2207.13880" TargetMode="External"/><Relationship Id="rId38" Type="http://schemas.openxmlformats.org/officeDocument/2006/relationships/hyperlink" Target="https://arxiv.org/abs/2209.11807" TargetMode="External"/><Relationship Id="rId39" Type="http://schemas.openxmlformats.org/officeDocument/2006/relationships/hyperlink" Target="https://arxiv.org/abs/2608.10350" TargetMode="External"/><Relationship Id="rId40" Type="http://schemas.openxmlformats.org/officeDocument/2006/relationships/hyperlink" Target="https://arxiv.org/abs/2409.07042" TargetMode="External"/><Relationship Id="rId41" Type="http://schemas.openxmlformats.org/officeDocument/2006/relationships/hyperlink" Target="https://arxiv.org/abs/2603.16725" TargetMode="External"/><Relationship Id="rId42" Type="http://schemas.openxmlformats.org/officeDocument/2006/relationships/hyperlink" Target="https://arxiv.org/abs/2606.11240" TargetMode="External"/><Relationship Id="rId43" Type="http://schemas.openxmlformats.org/officeDocument/2006/relationships/hyperlink" Target="https://arxiv.org/abs/2606.17045" TargetMode="External"/><Relationship Id="rId44" Type="http://schemas.openxmlformats.org/officeDocument/2006/relationships/hyperlink" Target="https://arxiv.org/abs/2609.22535" TargetMode="External"/><Relationship Id="rId45" Type="http://schemas.openxmlformats.org/officeDocument/2006/relationships/hyperlink" Target="https://arxiv.org/abs/2601.00855" TargetMode="External"/><Relationship Id="rId46" Type="http://schemas.openxmlformats.org/officeDocument/2006/relationships/hyperlink" Target="https://doi.org/10.1039/d4dd00391h" TargetMode="External"/><Relationship Id="rId47" Type="http://schemas.openxmlformats.org/officeDocument/2006/relationships/hyperlink" Target="https://doi.org/10.1021/acs.nanolett.5c05373" TargetMode="External"/><Relationship Id="rId48" Type="http://schemas.openxmlformats.org/officeDocument/2006/relationships/hyperlink" Target="https://doi.org/10.1103/tnqm-ttj3" TargetMode="External"/><Relationship Id="rId49" Type="http://schemas.openxmlformats.org/officeDocument/2006/relationships/hyperlink" Target="https://arxiv.org/abs/2311.09450" TargetMode="External"/><Relationship Id="rId50" Type="http://schemas.openxmlformats.org/officeDocument/2006/relationships/hyperlink" Target="https://arxiv.org/abs/2603.14775" TargetMode="External"/><Relationship Id="rId51" Type="http://schemas.openxmlformats.org/officeDocument/2006/relationships/hyperlink" Target="https://arxiv.org/abs/2506.00155" TargetMode="External"/><Relationship Id="rId52" Type="http://schemas.openxmlformats.org/officeDocument/2006/relationships/hyperlink" Target="https://doi.org/10.1103/PhysRevB.110.195103" TargetMode="External"/><Relationship Id="rId53" Type="http://schemas.openxmlformats.org/officeDocument/2006/relationships/hyperlink" Target="https://arxiv.org/abs/2503.13585" TargetMode="External"/><Relationship Id="rId54" Type="http://schemas.openxmlformats.org/officeDocument/2006/relationships/hyperlink" Target="https://arxiv.org/abs/2406.17645" TargetMode="External"/><Relationship Id="rId55" Type="http://schemas.openxmlformats.org/officeDocument/2006/relationships/hyperlink" Target="https://arxiv.org/abs/2412.00618" TargetMode="External"/><Relationship Id="rId56" Type="http://schemas.openxmlformats.org/officeDocument/2006/relationships/hyperlink" Target="https://arxiv.org/abs/2411.03285" TargetMode="External"/><Relationship Id="rId57" Type="http://schemas.openxmlformats.org/officeDocument/2006/relationships/hyperlink" Target="https://arxiv.org/abs/2501.04681" TargetMode="External"/><Relationship Id="rId58" Type="http://schemas.openxmlformats.org/officeDocument/2006/relationships/hyperlink" Target="https://arxiv.org/abs/2607.11190" TargetMode="External"/><Relationship Id="rId59" Type="http://schemas.openxmlformats.org/officeDocument/2006/relationships/hyperlink" Target="https://arxiv.org/abs/2604.11513" TargetMode="External"/><Relationship Id="rId60" Type="http://schemas.openxmlformats.org/officeDocument/2006/relationships/hyperlink" Target="https://arxiv.org/abs/2501.06171" TargetMode="External"/><Relationship Id="rId61" Type="http://schemas.openxmlformats.org/officeDocument/2006/relationships/hyperlink" Target="https://arxiv.org/abs/2406.15650" TargetMode="External"/><Relationship Id="rId62" Type="http://schemas.openxmlformats.org/officeDocument/2006/relationships/hyperlink" Target="https://arxiv.org/abs/2508.06456" TargetMode="External"/><Relationship Id="rId63" Type="http://schemas.openxmlformats.org/officeDocument/2006/relationships/hyperlink" Target="https://arxiv.org/abs/2405.02461" TargetMode="External"/><Relationship Id="rId64" Type="http://schemas.openxmlformats.org/officeDocument/2006/relationships/hyperlink" Target="https://arxiv.org/abs/2503.01709" TargetMode="External"/><Relationship Id="rId65" Type="http://schemas.openxmlformats.org/officeDocument/2006/relationships/hyperlink" Target="https://doi.org/10.1021/acs.nanolett.5c06306" TargetMode="External"/><Relationship Id="rId66" Type="http://schemas.openxmlformats.org/officeDocument/2006/relationships/hyperlink" Target="https://doi.org/10.1103/64xv-3fyx" TargetMode="External"/><Relationship Id="rId67" Type="http://schemas.openxmlformats.org/officeDocument/2006/relationships/hyperlink" Target="https://doi.org/10.1038/s41467-025-61380-2" TargetMode="External"/><Relationship Id="rId68" Type="http://schemas.openxmlformats.org/officeDocument/2006/relationships/hyperlink" Target="https://doi.org/10.1038/s44172-026-00623-6" TargetMode="External"/><Relationship Id="rId69" Type="http://schemas.openxmlformats.org/officeDocument/2006/relationships/hyperlink" Target="https://doi.org/10.1103/p8q7-r6ck" TargetMode="External"/><Relationship Id="rId70" Type="http://schemas.openxmlformats.org/officeDocument/2006/relationships/hyperlink" Target="https://doi.org/10.1002/pssr.202200030" TargetMode="External"/><Relationship Id="rId71" Type="http://schemas.openxmlformats.org/officeDocument/2006/relationships/hyperlink" Target="https://doi.org/10.1088/2515-7639/abc13b" TargetMode="External"/><Relationship Id="rId72" Type="http://schemas.openxmlformats.org/officeDocument/2006/relationships/hyperlink" Target="https://doi.org/10.1126/sciadv.adr1772" TargetMode="External"/><Relationship Id="rId73" Type="http://schemas.openxmlformats.org/officeDocument/2006/relationships/hyperlink" Target="https://doi.org/10.1021/acs.nanolett.1c01215" TargetMode="External"/><Relationship Id="rId74" Type="http://schemas.openxmlformats.org/officeDocument/2006/relationships/hyperlink" Target="https://doi.org/10.1021/acsnano.4c04097" TargetMode="External"/><Relationship Id="rId75" Type="http://schemas.openxmlformats.org/officeDocument/2006/relationships/hyperlink" Target="https://doi.org/10.1021/acsami.6c02516" TargetMode="External"/><Relationship Id="rId76" Type="http://schemas.openxmlformats.org/officeDocument/2006/relationships/hyperlink" Target="https://doi.org/10.1002/advs.202407175" TargetMode="External"/><Relationship Id="rId77" Type="http://schemas.openxmlformats.org/officeDocument/2006/relationships/hyperlink" Target="https://doi.org/10.1103/PhysRevLett.133.070404" TargetMode="External"/><Relationship Id="rId78" Type="http://schemas.openxmlformats.org/officeDocument/2006/relationships/hyperlink" Target="https://arxiv.org/abs/2410.06312" TargetMode="External"/><Relationship Id="rId79" Type="http://schemas.openxmlformats.org/officeDocument/2006/relationships/hyperlink" Target="https://doi.org/10.1103/PhysRevMaterials.7.044406" TargetMode="External"/><Relationship Id="rId80" Type="http://schemas.openxmlformats.org/officeDocument/2006/relationships/hyperlink" Target="https://doi.org/10.1103/PhysRevMaterials.6.104403" TargetMode="External"/><Relationship Id="rId81" Type="http://schemas.openxmlformats.org/officeDocument/2006/relationships/hyperlink" Target="https://arxiv.org/abs/2607.03706" TargetMode="External"/><Relationship Id="rId82" Type="http://schemas.openxmlformats.org/officeDocument/2006/relationships/hyperlink" Target="https://doi.org/10.1038/s41467-025-59675-5" TargetMode="External"/><Relationship Id="rId83" Type="http://schemas.openxmlformats.org/officeDocument/2006/relationships/hyperlink" Target="https://doi.org/10.1126/sciadv.adp5805" TargetMode="External"/><Relationship Id="rId84" Type="http://schemas.openxmlformats.org/officeDocument/2006/relationships/hyperlink" Target="https://doi.org/10.1103/PhysRevResearch.7.L022042" TargetMode="External"/><Relationship Id="rId85" Type="http://schemas.openxmlformats.org/officeDocument/2006/relationships/hyperlink" Target="https://doi.org/10.1021/acs.jpca.4c06745" TargetMode="External"/><Relationship Id="rId86" Type="http://schemas.openxmlformats.org/officeDocument/2006/relationships/hyperlink" Target="https://arxiv.org/abs/2501.18637" TargetMode="External"/><Relationship Id="rId87" Type="http://schemas.openxmlformats.org/officeDocument/2006/relationships/hyperlink" Target="https://doi.org/10.1063/5.0125422" TargetMode="External"/><Relationship Id="rId88" Type="http://schemas.openxmlformats.org/officeDocument/2006/relationships/hyperlink" Target="https://doi.org/10.1002/adfm.202111121" TargetMode="External"/><Relationship Id="rId89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1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3" t="s">
        <v>1</v>
      </c>
      <c r="B3" s="2" t="s">
        <v>2</v>
      </c>
    </row>
    <row r="4" customFormat="false" ht="23.85" hidden="false" customHeight="false" outlineLevel="0" collapsed="false">
      <c r="A4" s="3" t="s">
        <v>3</v>
      </c>
      <c r="B4" s="2" t="s">
        <v>4</v>
      </c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4" t="n">
        <v>0.5</v>
      </c>
    </row>
    <row r="8" customFormat="false" ht="23.85" hidden="false" customHeight="false" outlineLevel="0" collapsed="false">
      <c r="A8" s="3" t="s">
        <v>10</v>
      </c>
      <c r="B8" s="2" t="s">
        <v>11</v>
      </c>
    </row>
    <row r="9" customFormat="false" ht="35.05" hidden="false" customHeight="false" outlineLevel="0" collapsed="false">
      <c r="A9" s="3" t="s">
        <v>12</v>
      </c>
      <c r="B9" s="2" t="s">
        <v>13</v>
      </c>
    </row>
    <row r="10" customFormat="false" ht="23.85" hidden="false" customHeight="false" outlineLevel="0" collapsed="false">
      <c r="A10" s="3" t="s">
        <v>14</v>
      </c>
      <c r="B1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4" min="3" style="0" width="7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10" min="9" style="0" width="9"/>
  </cols>
  <sheetData>
    <row r="1" customFormat="false" ht="15" hidden="false" customHeight="fals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7</v>
      </c>
      <c r="J1" s="5" t="s">
        <v>24</v>
      </c>
    </row>
    <row r="2" customFormat="false" ht="15" hidden="false" customHeight="false" outlineLevel="0" collapsed="false">
      <c r="A2" s="6" t="n">
        <f aca="false">RANK(I2,$I$2:$I$29)</f>
        <v>1</v>
      </c>
      <c r="B2" s="6" t="s">
        <v>25</v>
      </c>
      <c r="C2" s="6" t="s">
        <v>26</v>
      </c>
      <c r="D2" s="6" t="n">
        <f aca="false">COUNTIF(Faculty!$B:$B,B2)</f>
        <v>15</v>
      </c>
      <c r="E2" s="6" t="n">
        <f aca="false">COUNTIFS(Faculty!$B:$B,B2,Faculty!$E:$E,"Y")</f>
        <v>8</v>
      </c>
      <c r="F2" s="6" t="n">
        <f aca="false">COUNTIFS(Faculty!$B:$B,B2,Faculty!$E:$E,"Partial")</f>
        <v>3</v>
      </c>
      <c r="G2" s="6" t="n">
        <f aca="false">SUMIF(Faculty!$B:$B,B2,Faculty!$F:$F)</f>
        <v>44</v>
      </c>
      <c r="H2" s="6" t="n">
        <f aca="false">_xlfn.MAXIFS(Faculty!$F:$F,Faculty!$B:$B,B2)</f>
        <v>5</v>
      </c>
      <c r="I2" s="6" t="n">
        <f aca="false">SUMIFS(Faculty!$F:$F,Faculty!$B:$B,B2,Faculty!$E:$E,"Y")+SUMIFS(Faculty!$F:$F,Faculty!$B:$B,B2,Faculty!$E:$E,"Partial")+README!$B$7*SUMIFS(Faculty!$F:$F,Faculty!$B:$B,B2,Faculty!$E:$E,"N")</f>
        <v>38.5</v>
      </c>
      <c r="J2" s="6" t="n">
        <f aca="false">SUMIF(Faculty!$B:$B,B2,Faculty!$K:$K)</f>
        <v>24</v>
      </c>
    </row>
    <row r="3" customFormat="false" ht="15" hidden="false" customHeight="false" outlineLevel="0" collapsed="false">
      <c r="A3" s="6" t="n">
        <f aca="false">RANK(I3,$I$2:$I$29)</f>
        <v>2</v>
      </c>
      <c r="B3" s="6" t="s">
        <v>27</v>
      </c>
      <c r="C3" s="6" t="s">
        <v>28</v>
      </c>
      <c r="D3" s="6" t="n">
        <f aca="false">COUNTIF(Faculty!$B:$B,B3)</f>
        <v>7</v>
      </c>
      <c r="E3" s="6" t="n">
        <f aca="false">COUNTIFS(Faculty!$B:$B,B3,Faculty!$E:$E,"Y")</f>
        <v>5</v>
      </c>
      <c r="F3" s="6" t="n">
        <f aca="false">COUNTIFS(Faculty!$B:$B,B3,Faculty!$E:$E,"Partial")</f>
        <v>0</v>
      </c>
      <c r="G3" s="6" t="n">
        <f aca="false">SUMIF(Faculty!$B:$B,B3,Faculty!$F:$F)</f>
        <v>25</v>
      </c>
      <c r="H3" s="6" t="n">
        <f aca="false">_xlfn.MAXIFS(Faculty!$F:$F,Faculty!$B:$B,B3)</f>
        <v>5</v>
      </c>
      <c r="I3" s="6" t="n">
        <f aca="false">SUMIFS(Faculty!$F:$F,Faculty!$B:$B,B3,Faculty!$E:$E,"Y")+SUMIFS(Faculty!$F:$F,Faculty!$B:$B,B3,Faculty!$E:$E,"Partial")+README!$B$7*SUMIFS(Faculty!$F:$F,Faculty!$B:$B,B3,Faculty!$E:$E,"N")</f>
        <v>22.5</v>
      </c>
      <c r="J3" s="6" t="n">
        <f aca="false">SUMIF(Faculty!$B:$B,B3,Faculty!$K:$K)</f>
        <v>8</v>
      </c>
    </row>
    <row r="4" customFormat="false" ht="15" hidden="false" customHeight="false" outlineLevel="0" collapsed="false">
      <c r="A4" s="6" t="n">
        <f aca="false">RANK(I4,$I$2:$I$29)</f>
        <v>3</v>
      </c>
      <c r="B4" s="6" t="s">
        <v>29</v>
      </c>
      <c r="C4" s="6" t="s">
        <v>30</v>
      </c>
      <c r="D4" s="6" t="n">
        <f aca="false">COUNTIF(Faculty!$B:$B,B4)</f>
        <v>7</v>
      </c>
      <c r="E4" s="6" t="n">
        <f aca="false">COUNTIFS(Faculty!$B:$B,B4,Faculty!$E:$E,"Y")</f>
        <v>3</v>
      </c>
      <c r="F4" s="6" t="n">
        <f aca="false">COUNTIFS(Faculty!$B:$B,B4,Faculty!$E:$E,"Partial")</f>
        <v>0</v>
      </c>
      <c r="G4" s="6" t="n">
        <f aca="false">SUMIF(Faculty!$B:$B,B4,Faculty!$F:$F)</f>
        <v>23</v>
      </c>
      <c r="H4" s="6" t="n">
        <f aca="false">_xlfn.MAXIFS(Faculty!$F:$F,Faculty!$B:$B,B4)</f>
        <v>5</v>
      </c>
      <c r="I4" s="6" t="n">
        <f aca="false">SUMIFS(Faculty!$F:$F,Faculty!$B:$B,B4,Faculty!$E:$E,"Y")+SUMIFS(Faculty!$F:$F,Faculty!$B:$B,B4,Faculty!$E:$E,"Partial")+README!$B$7*SUMIFS(Faculty!$F:$F,Faculty!$B:$B,B4,Faculty!$E:$E,"N")</f>
        <v>16.5</v>
      </c>
      <c r="J4" s="6" t="n">
        <f aca="false">SUMIF(Faculty!$B:$B,B4,Faculty!$K:$K)</f>
        <v>19</v>
      </c>
    </row>
    <row r="5" customFormat="false" ht="15" hidden="false" customHeight="false" outlineLevel="0" collapsed="false">
      <c r="A5" s="6" t="n">
        <f aca="false">RANK(I5,$I$2:$I$29)</f>
        <v>4</v>
      </c>
      <c r="B5" s="6" t="s">
        <v>31</v>
      </c>
      <c r="C5" s="6" t="s">
        <v>32</v>
      </c>
      <c r="D5" s="6" t="n">
        <f aca="false">COUNTIF(Faculty!$B:$B,B5)</f>
        <v>3</v>
      </c>
      <c r="E5" s="6" t="n">
        <f aca="false">COUNTIFS(Faculty!$B:$B,B5,Faculty!$E:$E,"Y")</f>
        <v>2</v>
      </c>
      <c r="F5" s="6" t="n">
        <f aca="false">COUNTIFS(Faculty!$B:$B,B5,Faculty!$E:$E,"Partial")</f>
        <v>0</v>
      </c>
      <c r="G5" s="6" t="n">
        <f aca="false">SUMIF(Faculty!$B:$B,B5,Faculty!$F:$F)</f>
        <v>11</v>
      </c>
      <c r="H5" s="6" t="n">
        <f aca="false">_xlfn.MAXIFS(Faculty!$F:$F,Faculty!$B:$B,B5)</f>
        <v>5</v>
      </c>
      <c r="I5" s="6" t="n">
        <f aca="false">SUMIFS(Faculty!$F:$F,Faculty!$B:$B,B5,Faculty!$E:$E,"Y")+SUMIFS(Faculty!$F:$F,Faculty!$B:$B,B5,Faculty!$E:$E,"Partial")+README!$B$7*SUMIFS(Faculty!$F:$F,Faculty!$B:$B,B5,Faculty!$E:$E,"N")</f>
        <v>9.5</v>
      </c>
      <c r="J5" s="6" t="n">
        <f aca="false">SUMIF(Faculty!$B:$B,B5,Faculty!$K:$K)</f>
        <v>4</v>
      </c>
    </row>
    <row r="6" customFormat="false" ht="15" hidden="false" customHeight="false" outlineLevel="0" collapsed="false">
      <c r="A6" s="6" t="n">
        <f aca="false">RANK(I6,$I$2:$I$29)</f>
        <v>5</v>
      </c>
      <c r="B6" s="6" t="s">
        <v>33</v>
      </c>
      <c r="C6" s="6" t="s">
        <v>34</v>
      </c>
      <c r="D6" s="6" t="n">
        <f aca="false">COUNTIF(Faculty!$B:$B,B6)</f>
        <v>3</v>
      </c>
      <c r="E6" s="6" t="n">
        <f aca="false">COUNTIFS(Faculty!$B:$B,B6,Faculty!$E:$E,"Y")</f>
        <v>2</v>
      </c>
      <c r="F6" s="6" t="n">
        <f aca="false">COUNTIFS(Faculty!$B:$B,B6,Faculty!$E:$E,"Partial")</f>
        <v>0</v>
      </c>
      <c r="G6" s="6" t="n">
        <f aca="false">SUMIF(Faculty!$B:$B,B6,Faculty!$F:$F)</f>
        <v>8</v>
      </c>
      <c r="H6" s="6" t="n">
        <f aca="false">_xlfn.MAXIFS(Faculty!$F:$F,Faculty!$B:$B,B6)</f>
        <v>4</v>
      </c>
      <c r="I6" s="6" t="n">
        <f aca="false">SUMIFS(Faculty!$F:$F,Faculty!$B:$B,B6,Faculty!$E:$E,"Y")+SUMIFS(Faculty!$F:$F,Faculty!$B:$B,B6,Faculty!$E:$E,"Partial")+README!$B$7*SUMIFS(Faculty!$F:$F,Faculty!$B:$B,B6,Faculty!$E:$E,"N")</f>
        <v>7.5</v>
      </c>
      <c r="J6" s="6" t="n">
        <f aca="false">SUMIF(Faculty!$B:$B,B6,Faculty!$K:$K)</f>
        <v>5</v>
      </c>
    </row>
    <row r="7" customFormat="false" ht="15" hidden="false" customHeight="false" outlineLevel="0" collapsed="false">
      <c r="A7" s="6" t="n">
        <f aca="false">RANK(I7,$I$2:$I$29)</f>
        <v>6</v>
      </c>
      <c r="B7" s="6" t="s">
        <v>35</v>
      </c>
      <c r="C7" s="6" t="s">
        <v>36</v>
      </c>
      <c r="D7" s="6" t="n">
        <f aca="false">COUNTIF(Faculty!$B:$B,B7)</f>
        <v>2</v>
      </c>
      <c r="E7" s="6" t="n">
        <f aca="false">COUNTIFS(Faculty!$B:$B,B7,Faculty!$E:$E,"Y")</f>
        <v>1</v>
      </c>
      <c r="F7" s="6" t="n">
        <f aca="false">COUNTIFS(Faculty!$B:$B,B7,Faculty!$E:$E,"Partial")</f>
        <v>0</v>
      </c>
      <c r="G7" s="6" t="n">
        <f aca="false">SUMIF(Faculty!$B:$B,B7,Faculty!$F:$F)</f>
        <v>7</v>
      </c>
      <c r="H7" s="6" t="n">
        <f aca="false">_xlfn.MAXIFS(Faculty!$F:$F,Faculty!$B:$B,B7)</f>
        <v>5</v>
      </c>
      <c r="I7" s="6" t="n">
        <f aca="false">SUMIFS(Faculty!$F:$F,Faculty!$B:$B,B7,Faculty!$E:$E,"Y")+SUMIFS(Faculty!$F:$F,Faculty!$B:$B,B7,Faculty!$E:$E,"Partial")+README!$B$7*SUMIFS(Faculty!$F:$F,Faculty!$B:$B,B7,Faculty!$E:$E,"N")</f>
        <v>6</v>
      </c>
      <c r="J7" s="6" t="n">
        <f aca="false">SUMIF(Faculty!$B:$B,B7,Faculty!$K:$K)</f>
        <v>3</v>
      </c>
    </row>
    <row r="8" customFormat="false" ht="15" hidden="false" customHeight="false" outlineLevel="0" collapsed="false">
      <c r="A8" s="6" t="n">
        <f aca="false">RANK(I8,$I$2:$I$29)</f>
        <v>7</v>
      </c>
      <c r="B8" s="6" t="s">
        <v>37</v>
      </c>
      <c r="C8" s="6" t="s">
        <v>30</v>
      </c>
      <c r="D8" s="6" t="n">
        <f aca="false">COUNTIF(Faculty!$B:$B,B8)</f>
        <v>1</v>
      </c>
      <c r="E8" s="6" t="n">
        <f aca="false">COUNTIFS(Faculty!$B:$B,B8,Faculty!$E:$E,"Y")</f>
        <v>1</v>
      </c>
      <c r="F8" s="6" t="n">
        <f aca="false">COUNTIFS(Faculty!$B:$B,B8,Faculty!$E:$E,"Partial")</f>
        <v>0</v>
      </c>
      <c r="G8" s="6" t="n">
        <f aca="false">SUMIF(Faculty!$B:$B,B8,Faculty!$F:$F)</f>
        <v>5</v>
      </c>
      <c r="H8" s="6" t="n">
        <f aca="false">_xlfn.MAXIFS(Faculty!$F:$F,Faculty!$B:$B,B8)</f>
        <v>5</v>
      </c>
      <c r="I8" s="6" t="n">
        <f aca="false">SUMIFS(Faculty!$F:$F,Faculty!$B:$B,B8,Faculty!$E:$E,"Y")+SUMIFS(Faculty!$F:$F,Faculty!$B:$B,B8,Faculty!$E:$E,"Partial")+README!$B$7*SUMIFS(Faculty!$F:$F,Faculty!$B:$B,B8,Faculty!$E:$E,"N")</f>
        <v>5</v>
      </c>
      <c r="J8" s="6" t="n">
        <f aca="false">SUMIF(Faculty!$B:$B,B8,Faculty!$K:$K)</f>
        <v>2</v>
      </c>
    </row>
    <row r="9" customFormat="false" ht="15" hidden="false" customHeight="false" outlineLevel="0" collapsed="false">
      <c r="A9" s="6" t="n">
        <f aca="false">RANK(I9,$I$2:$I$29)</f>
        <v>8</v>
      </c>
      <c r="B9" s="6" t="s">
        <v>38</v>
      </c>
      <c r="C9" s="6" t="s">
        <v>39</v>
      </c>
      <c r="D9" s="6" t="n">
        <f aca="false">COUNTIF(Faculty!$B:$B,B9)</f>
        <v>1</v>
      </c>
      <c r="E9" s="6" t="n">
        <f aca="false">COUNTIFS(Faculty!$B:$B,B9,Faculty!$E:$E,"Y")</f>
        <v>1</v>
      </c>
      <c r="F9" s="6" t="n">
        <f aca="false">COUNTIFS(Faculty!$B:$B,B9,Faculty!$E:$E,"Partial")</f>
        <v>0</v>
      </c>
      <c r="G9" s="6" t="n">
        <f aca="false">SUMIF(Faculty!$B:$B,B9,Faculty!$F:$F)</f>
        <v>4</v>
      </c>
      <c r="H9" s="6" t="n">
        <f aca="false">_xlfn.MAXIFS(Faculty!$F:$F,Faculty!$B:$B,B9)</f>
        <v>4</v>
      </c>
      <c r="I9" s="6" t="n">
        <f aca="false">SUMIFS(Faculty!$F:$F,Faculty!$B:$B,B9,Faculty!$E:$E,"Y")+SUMIFS(Faculty!$F:$F,Faculty!$B:$B,B9,Faculty!$E:$E,"Partial")+README!$B$7*SUMIFS(Faculty!$F:$F,Faculty!$B:$B,B9,Faculty!$E:$E,"N")</f>
        <v>4</v>
      </c>
      <c r="J9" s="6" t="n">
        <f aca="false">SUMIF(Faculty!$B:$B,B9,Faculty!$K:$K)</f>
        <v>1</v>
      </c>
    </row>
    <row r="10" customFormat="false" ht="15" hidden="false" customHeight="false" outlineLevel="0" collapsed="false">
      <c r="A10" s="6" t="n">
        <f aca="false">RANK(I10,$I$2:$I$29)</f>
        <v>8</v>
      </c>
      <c r="B10" s="6" t="s">
        <v>40</v>
      </c>
      <c r="C10" s="6" t="s">
        <v>39</v>
      </c>
      <c r="D10" s="6" t="n">
        <f aca="false">COUNTIF(Faculty!$B:$B,B10)</f>
        <v>1</v>
      </c>
      <c r="E10" s="6" t="n">
        <f aca="false">COUNTIFS(Faculty!$B:$B,B10,Faculty!$E:$E,"Y")</f>
        <v>1</v>
      </c>
      <c r="F10" s="6" t="n">
        <f aca="false">COUNTIFS(Faculty!$B:$B,B10,Faculty!$E:$E,"Partial")</f>
        <v>0</v>
      </c>
      <c r="G10" s="6" t="n">
        <f aca="false">SUMIF(Faculty!$B:$B,B10,Faculty!$F:$F)</f>
        <v>4</v>
      </c>
      <c r="H10" s="6" t="n">
        <f aca="false">_xlfn.MAXIFS(Faculty!$F:$F,Faculty!$B:$B,B10)</f>
        <v>4</v>
      </c>
      <c r="I10" s="6" t="n">
        <f aca="false">SUMIFS(Faculty!$F:$F,Faculty!$B:$B,B10,Faculty!$E:$E,"Y")+SUMIFS(Faculty!$F:$F,Faculty!$B:$B,B10,Faculty!$E:$E,"Partial")+README!$B$7*SUMIFS(Faculty!$F:$F,Faculty!$B:$B,B10,Faculty!$E:$E,"N")</f>
        <v>4</v>
      </c>
      <c r="J10" s="6" t="n">
        <f aca="false">SUMIF(Faculty!$B:$B,B10,Faculty!$K:$K)</f>
        <v>1</v>
      </c>
    </row>
    <row r="11" customFormat="false" ht="15" hidden="false" customHeight="false" outlineLevel="0" collapsed="false">
      <c r="A11" s="6" t="n">
        <f aca="false">RANK(I11,$I$2:$I$29)</f>
        <v>8</v>
      </c>
      <c r="B11" s="6" t="s">
        <v>41</v>
      </c>
      <c r="C11" s="6" t="s">
        <v>39</v>
      </c>
      <c r="D11" s="6" t="n">
        <f aca="false">COUNTIF(Faculty!$B:$B,B11)</f>
        <v>1</v>
      </c>
      <c r="E11" s="6" t="n">
        <f aca="false">COUNTIFS(Faculty!$B:$B,B11,Faculty!$E:$E,"Y")</f>
        <v>1</v>
      </c>
      <c r="F11" s="6" t="n">
        <f aca="false">COUNTIFS(Faculty!$B:$B,B11,Faculty!$E:$E,"Partial")</f>
        <v>0</v>
      </c>
      <c r="G11" s="6" t="n">
        <f aca="false">SUMIF(Faculty!$B:$B,B11,Faculty!$F:$F)</f>
        <v>4</v>
      </c>
      <c r="H11" s="6" t="n">
        <f aca="false">_xlfn.MAXIFS(Faculty!$F:$F,Faculty!$B:$B,B11)</f>
        <v>4</v>
      </c>
      <c r="I11" s="6" t="n">
        <f aca="false">SUMIFS(Faculty!$F:$F,Faculty!$B:$B,B11,Faculty!$E:$E,"Y")+SUMIFS(Faculty!$F:$F,Faculty!$B:$B,B11,Faculty!$E:$E,"Partial")+README!$B$7*SUMIFS(Faculty!$F:$F,Faculty!$B:$B,B11,Faculty!$E:$E,"N")</f>
        <v>4</v>
      </c>
      <c r="J11" s="6" t="n">
        <f aca="false">SUMIF(Faculty!$B:$B,B11,Faculty!$K:$K)</f>
        <v>1</v>
      </c>
    </row>
    <row r="12" customFormat="false" ht="15" hidden="false" customHeight="false" outlineLevel="0" collapsed="false">
      <c r="A12" s="6" t="n">
        <f aca="false">RANK(I12,$I$2:$I$29)</f>
        <v>8</v>
      </c>
      <c r="B12" s="6" t="s">
        <v>42</v>
      </c>
      <c r="C12" s="6" t="s">
        <v>43</v>
      </c>
      <c r="D12" s="6" t="n">
        <f aca="false">COUNTIF(Faculty!$B:$B,B12)</f>
        <v>1</v>
      </c>
      <c r="E12" s="6" t="n">
        <f aca="false">COUNTIFS(Faculty!$B:$B,B12,Faculty!$E:$E,"Y")</f>
        <v>0</v>
      </c>
      <c r="F12" s="6" t="n">
        <f aca="false">COUNTIFS(Faculty!$B:$B,B12,Faculty!$E:$E,"Partial")</f>
        <v>1</v>
      </c>
      <c r="G12" s="6" t="n">
        <f aca="false">SUMIF(Faculty!$B:$B,B12,Faculty!$F:$F)</f>
        <v>4</v>
      </c>
      <c r="H12" s="6" t="n">
        <f aca="false">_xlfn.MAXIFS(Faculty!$F:$F,Faculty!$B:$B,B12)</f>
        <v>4</v>
      </c>
      <c r="I12" s="6" t="n">
        <f aca="false">SUMIFS(Faculty!$F:$F,Faculty!$B:$B,B12,Faculty!$E:$E,"Y")+SUMIFS(Faculty!$F:$F,Faculty!$B:$B,B12,Faculty!$E:$E,"Partial")+README!$B$7*SUMIFS(Faculty!$F:$F,Faculty!$B:$B,B12,Faculty!$E:$E,"N")</f>
        <v>4</v>
      </c>
      <c r="J12" s="6" t="n">
        <f aca="false">SUMIF(Faculty!$B:$B,B12,Faculty!$K:$K)</f>
        <v>1</v>
      </c>
    </row>
    <row r="13" customFormat="false" ht="15" hidden="false" customHeight="false" outlineLevel="0" collapsed="false">
      <c r="A13" s="6" t="n">
        <f aca="false">RANK(I13,$I$2:$I$29)</f>
        <v>8</v>
      </c>
      <c r="B13" s="6" t="s">
        <v>44</v>
      </c>
      <c r="C13" s="6" t="s">
        <v>45</v>
      </c>
      <c r="D13" s="6" t="n">
        <f aca="false">COUNTIF(Faculty!$B:$B,B13)</f>
        <v>1</v>
      </c>
      <c r="E13" s="6" t="n">
        <f aca="false">COUNTIFS(Faculty!$B:$B,B13,Faculty!$E:$E,"Y")</f>
        <v>0</v>
      </c>
      <c r="F13" s="6" t="n">
        <f aca="false">COUNTIFS(Faculty!$B:$B,B13,Faculty!$E:$E,"Partial")</f>
        <v>1</v>
      </c>
      <c r="G13" s="6" t="n">
        <f aca="false">SUMIF(Faculty!$B:$B,B13,Faculty!$F:$F)</f>
        <v>4</v>
      </c>
      <c r="H13" s="6" t="n">
        <f aca="false">_xlfn.MAXIFS(Faculty!$F:$F,Faculty!$B:$B,B13)</f>
        <v>4</v>
      </c>
      <c r="I13" s="6" t="n">
        <f aca="false">SUMIFS(Faculty!$F:$F,Faculty!$B:$B,B13,Faculty!$E:$E,"Y")+SUMIFS(Faculty!$F:$F,Faculty!$B:$B,B13,Faculty!$E:$E,"Partial")+README!$B$7*SUMIFS(Faculty!$F:$F,Faculty!$B:$B,B13,Faculty!$E:$E,"N")</f>
        <v>4</v>
      </c>
      <c r="J13" s="6" t="n">
        <f aca="false">SUMIF(Faculty!$B:$B,B13,Faculty!$K:$K)</f>
        <v>0</v>
      </c>
    </row>
    <row r="14" customFormat="false" ht="15" hidden="false" customHeight="false" outlineLevel="0" collapsed="false">
      <c r="A14" s="6" t="n">
        <f aca="false">RANK(I14,$I$2:$I$29)</f>
        <v>8</v>
      </c>
      <c r="B14" s="6" t="s">
        <v>46</v>
      </c>
      <c r="C14" s="6" t="s">
        <v>47</v>
      </c>
      <c r="D14" s="6" t="n">
        <f aca="false">COUNTIF(Faculty!$B:$B,B14)</f>
        <v>1</v>
      </c>
      <c r="E14" s="6" t="n">
        <f aca="false">COUNTIFS(Faculty!$B:$B,B14,Faculty!$E:$E,"Y")</f>
        <v>1</v>
      </c>
      <c r="F14" s="6" t="n">
        <f aca="false">COUNTIFS(Faculty!$B:$B,B14,Faculty!$E:$E,"Partial")</f>
        <v>0</v>
      </c>
      <c r="G14" s="6" t="n">
        <f aca="false">SUMIF(Faculty!$B:$B,B14,Faculty!$F:$F)</f>
        <v>4</v>
      </c>
      <c r="H14" s="6" t="n">
        <f aca="false">_xlfn.MAXIFS(Faculty!$F:$F,Faculty!$B:$B,B14)</f>
        <v>4</v>
      </c>
      <c r="I14" s="6" t="n">
        <f aca="false">SUMIFS(Faculty!$F:$F,Faculty!$B:$B,B14,Faculty!$E:$E,"Y")+SUMIFS(Faculty!$F:$F,Faculty!$B:$B,B14,Faculty!$E:$E,"Partial")+README!$B$7*SUMIFS(Faculty!$F:$F,Faculty!$B:$B,B14,Faculty!$E:$E,"N")</f>
        <v>4</v>
      </c>
      <c r="J14" s="6" t="n">
        <f aca="false">SUMIF(Faculty!$B:$B,B14,Faculty!$K:$K)</f>
        <v>2</v>
      </c>
    </row>
    <row r="15" customFormat="false" ht="15" hidden="false" customHeight="false" outlineLevel="0" collapsed="false">
      <c r="A15" s="6" t="n">
        <f aca="false">RANK(I15,$I$2:$I$29)</f>
        <v>14</v>
      </c>
      <c r="B15" s="6" t="s">
        <v>48</v>
      </c>
      <c r="C15" s="6" t="s">
        <v>39</v>
      </c>
      <c r="D15" s="6" t="n">
        <f aca="false">COUNTIF(Faculty!$B:$B,B15)</f>
        <v>1</v>
      </c>
      <c r="E15" s="6" t="n">
        <f aca="false">COUNTIFS(Faculty!$B:$B,B15,Faculty!$E:$E,"Y")</f>
        <v>1</v>
      </c>
      <c r="F15" s="6" t="n">
        <f aca="false">COUNTIFS(Faculty!$B:$B,B15,Faculty!$E:$E,"Partial")</f>
        <v>0</v>
      </c>
      <c r="G15" s="6" t="n">
        <f aca="false">SUMIF(Faculty!$B:$B,B15,Faculty!$F:$F)</f>
        <v>3</v>
      </c>
      <c r="H15" s="6" t="n">
        <f aca="false">_xlfn.MAXIFS(Faculty!$F:$F,Faculty!$B:$B,B15)</f>
        <v>3</v>
      </c>
      <c r="I15" s="6" t="n">
        <f aca="false">SUMIFS(Faculty!$F:$F,Faculty!$B:$B,B15,Faculty!$E:$E,"Y")+SUMIFS(Faculty!$F:$F,Faculty!$B:$B,B15,Faculty!$E:$E,"Partial")+README!$B$7*SUMIFS(Faculty!$F:$F,Faculty!$B:$B,B15,Faculty!$E:$E,"N")</f>
        <v>3</v>
      </c>
      <c r="J15" s="6" t="n">
        <f aca="false">SUMIF(Faculty!$B:$B,B15,Faculty!$K:$K)</f>
        <v>1</v>
      </c>
    </row>
    <row r="16" customFormat="false" ht="15" hidden="false" customHeight="false" outlineLevel="0" collapsed="false">
      <c r="A16" s="6" t="n">
        <f aca="false">RANK(I16,$I$2:$I$29)</f>
        <v>15</v>
      </c>
      <c r="B16" s="6" t="s">
        <v>49</v>
      </c>
      <c r="C16" s="6" t="s">
        <v>50</v>
      </c>
      <c r="D16" s="6" t="n">
        <f aca="false">COUNTIF(Faculty!$B:$B,B16)</f>
        <v>1</v>
      </c>
      <c r="E16" s="6" t="n">
        <f aca="false">COUNTIFS(Faculty!$B:$B,B16,Faculty!$E:$E,"Y")</f>
        <v>0</v>
      </c>
      <c r="F16" s="6" t="n">
        <f aca="false">COUNTIFS(Faculty!$B:$B,B16,Faculty!$E:$E,"Partial")</f>
        <v>0</v>
      </c>
      <c r="G16" s="6" t="n">
        <f aca="false">SUMIF(Faculty!$B:$B,B16,Faculty!$F:$F)</f>
        <v>5</v>
      </c>
      <c r="H16" s="6" t="n">
        <f aca="false">_xlfn.MAXIFS(Faculty!$F:$F,Faculty!$B:$B,B16)</f>
        <v>5</v>
      </c>
      <c r="I16" s="6" t="n">
        <f aca="false">SUMIFS(Faculty!$F:$F,Faculty!$B:$B,B16,Faculty!$E:$E,"Y")+SUMIFS(Faculty!$F:$F,Faculty!$B:$B,B16,Faculty!$E:$E,"Partial")+README!$B$7*SUMIFS(Faculty!$F:$F,Faculty!$B:$B,B16,Faculty!$E:$E,"N")</f>
        <v>2.5</v>
      </c>
      <c r="J16" s="6" t="n">
        <f aca="false">SUMIF(Faculty!$B:$B,B16,Faculty!$K:$K)</f>
        <v>1</v>
      </c>
    </row>
    <row r="17" customFormat="false" ht="15" hidden="false" customHeight="false" outlineLevel="0" collapsed="false">
      <c r="A17" s="6" t="n">
        <f aca="false">RANK(I17,$I$2:$I$29)</f>
        <v>16</v>
      </c>
      <c r="B17" s="6" t="s">
        <v>51</v>
      </c>
      <c r="C17" s="6" t="s">
        <v>30</v>
      </c>
      <c r="D17" s="6" t="n">
        <f aca="false">COUNTIF(Faculty!$B:$B,B17)</f>
        <v>1</v>
      </c>
      <c r="E17" s="6" t="n">
        <f aca="false">COUNTIFS(Faculty!$B:$B,B17,Faculty!$E:$E,"Y")</f>
        <v>0</v>
      </c>
      <c r="F17" s="6" t="n">
        <f aca="false">COUNTIFS(Faculty!$B:$B,B17,Faculty!$E:$E,"Partial")</f>
        <v>0</v>
      </c>
      <c r="G17" s="6" t="n">
        <f aca="false">SUMIF(Faculty!$B:$B,B17,Faculty!$F:$F)</f>
        <v>4</v>
      </c>
      <c r="H17" s="6" t="n">
        <f aca="false">_xlfn.MAXIFS(Faculty!$F:$F,Faculty!$B:$B,B17)</f>
        <v>4</v>
      </c>
      <c r="I17" s="6" t="n">
        <f aca="false">SUMIFS(Faculty!$F:$F,Faculty!$B:$B,B17,Faculty!$E:$E,"Y")+SUMIFS(Faculty!$F:$F,Faculty!$B:$B,B17,Faculty!$E:$E,"Partial")+README!$B$7*SUMIFS(Faculty!$F:$F,Faculty!$B:$B,B17,Faculty!$E:$E,"N")</f>
        <v>2</v>
      </c>
      <c r="J17" s="6" t="n">
        <f aca="false">SUMIF(Faculty!$B:$B,B17,Faculty!$K:$K)</f>
        <v>3</v>
      </c>
    </row>
    <row r="18" customFormat="false" ht="15" hidden="false" customHeight="false" outlineLevel="0" collapsed="false">
      <c r="A18" s="6" t="n">
        <f aca="false">RANK(I18,$I$2:$I$29)</f>
        <v>16</v>
      </c>
      <c r="B18" s="6" t="s">
        <v>52</v>
      </c>
      <c r="C18" s="6" t="s">
        <v>53</v>
      </c>
      <c r="D18" s="6" t="n">
        <f aca="false">COUNTIF(Faculty!$B:$B,B18)</f>
        <v>1</v>
      </c>
      <c r="E18" s="6" t="n">
        <f aca="false">COUNTIFS(Faculty!$B:$B,B18,Faculty!$E:$E,"Y")</f>
        <v>1</v>
      </c>
      <c r="F18" s="6" t="n">
        <f aca="false">COUNTIFS(Faculty!$B:$B,B18,Faculty!$E:$E,"Partial")</f>
        <v>0</v>
      </c>
      <c r="G18" s="6" t="n">
        <f aca="false">SUMIF(Faculty!$B:$B,B18,Faculty!$F:$F)</f>
        <v>2</v>
      </c>
      <c r="H18" s="6" t="n">
        <f aca="false">_xlfn.MAXIFS(Faculty!$F:$F,Faculty!$B:$B,B18)</f>
        <v>2</v>
      </c>
      <c r="I18" s="6" t="n">
        <f aca="false">SUMIFS(Faculty!$F:$F,Faculty!$B:$B,B18,Faculty!$E:$E,"Y")+SUMIFS(Faculty!$F:$F,Faculty!$B:$B,B18,Faculty!$E:$E,"Partial")+README!$B$7*SUMIFS(Faculty!$F:$F,Faculty!$B:$B,B18,Faculty!$E:$E,"N")</f>
        <v>2</v>
      </c>
      <c r="J18" s="6" t="n">
        <f aca="false">SUMIF(Faculty!$B:$B,B18,Faculty!$K:$K)</f>
        <v>1</v>
      </c>
    </row>
    <row r="19" customFormat="false" ht="15" hidden="false" customHeight="false" outlineLevel="0" collapsed="false">
      <c r="A19" s="6" t="n">
        <f aca="false">RANK(I19,$I$2:$I$29)</f>
        <v>18</v>
      </c>
      <c r="B19" s="6" t="s">
        <v>54</v>
      </c>
      <c r="C19" s="6" t="s">
        <v>39</v>
      </c>
      <c r="D19" s="6" t="n">
        <f aca="false">COUNTIF(Faculty!$B:$B,B19)</f>
        <v>1</v>
      </c>
      <c r="E19" s="6" t="n">
        <f aca="false">COUNTIFS(Faculty!$B:$B,B19,Faculty!$E:$E,"Y")</f>
        <v>0</v>
      </c>
      <c r="F19" s="6" t="n">
        <f aca="false">COUNTIFS(Faculty!$B:$B,B19,Faculty!$E:$E,"Partial")</f>
        <v>0</v>
      </c>
      <c r="G19" s="6" t="n">
        <f aca="false">SUMIF(Faculty!$B:$B,B19,Faculty!$F:$F)</f>
        <v>3</v>
      </c>
      <c r="H19" s="6" t="n">
        <f aca="false">_xlfn.MAXIFS(Faculty!$F:$F,Faculty!$B:$B,B19)</f>
        <v>3</v>
      </c>
      <c r="I19" s="6" t="n">
        <f aca="false">SUMIFS(Faculty!$F:$F,Faculty!$B:$B,B19,Faculty!$E:$E,"Y")+SUMIFS(Faculty!$F:$F,Faculty!$B:$B,B19,Faculty!$E:$E,"Partial")+README!$B$7*SUMIFS(Faculty!$F:$F,Faculty!$B:$B,B19,Faculty!$E:$E,"N")</f>
        <v>1.5</v>
      </c>
      <c r="J19" s="6" t="n">
        <f aca="false">SUMIF(Faculty!$B:$B,B19,Faculty!$K:$K)</f>
        <v>1</v>
      </c>
    </row>
    <row r="20" customFormat="false" ht="15" hidden="false" customHeight="false" outlineLevel="0" collapsed="false">
      <c r="A20" s="6" t="n">
        <f aca="false">RANK(I20,$I$2:$I$29)</f>
        <v>18</v>
      </c>
      <c r="B20" s="6" t="s">
        <v>55</v>
      </c>
      <c r="C20" s="6" t="s">
        <v>39</v>
      </c>
      <c r="D20" s="6" t="n">
        <f aca="false">COUNTIF(Faculty!$B:$B,B20)</f>
        <v>1</v>
      </c>
      <c r="E20" s="6" t="n">
        <f aca="false">COUNTIFS(Faculty!$B:$B,B20,Faculty!$E:$E,"Y")</f>
        <v>0</v>
      </c>
      <c r="F20" s="6" t="n">
        <f aca="false">COUNTIFS(Faculty!$B:$B,B20,Faculty!$E:$E,"Partial")</f>
        <v>0</v>
      </c>
      <c r="G20" s="6" t="n">
        <f aca="false">SUMIF(Faculty!$B:$B,B20,Faculty!$F:$F)</f>
        <v>3</v>
      </c>
      <c r="H20" s="6" t="n">
        <f aca="false">_xlfn.MAXIFS(Faculty!$F:$F,Faculty!$B:$B,B20)</f>
        <v>3</v>
      </c>
      <c r="I20" s="6" t="n">
        <f aca="false">SUMIFS(Faculty!$F:$F,Faculty!$B:$B,B20,Faculty!$E:$E,"Y")+SUMIFS(Faculty!$F:$F,Faculty!$B:$B,B20,Faculty!$E:$E,"Partial")+README!$B$7*SUMIFS(Faculty!$F:$F,Faculty!$B:$B,B20,Faculty!$E:$E,"N")</f>
        <v>1.5</v>
      </c>
      <c r="J20" s="6" t="n">
        <f aca="false">SUMIF(Faculty!$B:$B,B20,Faculty!$K:$K)</f>
        <v>0</v>
      </c>
    </row>
    <row r="21" customFormat="false" ht="15" hidden="false" customHeight="false" outlineLevel="0" collapsed="false">
      <c r="A21" s="6" t="n">
        <f aca="false">RANK(I21,$I$2:$I$29)</f>
        <v>18</v>
      </c>
      <c r="B21" s="6" t="s">
        <v>56</v>
      </c>
      <c r="C21" s="6" t="s">
        <v>50</v>
      </c>
      <c r="D21" s="6" t="n">
        <f aca="false">COUNTIF(Faculty!$B:$B,B21)</f>
        <v>1</v>
      </c>
      <c r="E21" s="6" t="n">
        <f aca="false">COUNTIFS(Faculty!$B:$B,B21,Faculty!$E:$E,"Y")</f>
        <v>0</v>
      </c>
      <c r="F21" s="6" t="n">
        <f aca="false">COUNTIFS(Faculty!$B:$B,B21,Faculty!$E:$E,"Partial")</f>
        <v>0</v>
      </c>
      <c r="G21" s="6" t="n">
        <f aca="false">SUMIF(Faculty!$B:$B,B21,Faculty!$F:$F)</f>
        <v>3</v>
      </c>
      <c r="H21" s="6" t="n">
        <f aca="false">_xlfn.MAXIFS(Faculty!$F:$F,Faculty!$B:$B,B21)</f>
        <v>3</v>
      </c>
      <c r="I21" s="6" t="n">
        <f aca="false">SUMIFS(Faculty!$F:$F,Faculty!$B:$B,B21,Faculty!$E:$E,"Y")+SUMIFS(Faculty!$F:$F,Faculty!$B:$B,B21,Faculty!$E:$E,"Partial")+README!$B$7*SUMIFS(Faculty!$F:$F,Faculty!$B:$B,B21,Faculty!$E:$E,"N")</f>
        <v>1.5</v>
      </c>
      <c r="J21" s="6" t="n">
        <f aca="false">SUMIF(Faculty!$B:$B,B21,Faculty!$K:$K)</f>
        <v>1</v>
      </c>
    </row>
    <row r="22" customFormat="false" ht="15" hidden="false" customHeight="false" outlineLevel="0" collapsed="false">
      <c r="A22" s="6" t="n">
        <f aca="false">RANK(I22,$I$2:$I$29)</f>
        <v>18</v>
      </c>
      <c r="B22" s="6" t="s">
        <v>57</v>
      </c>
      <c r="C22" s="6" t="s">
        <v>58</v>
      </c>
      <c r="D22" s="6" t="n">
        <f aca="false">COUNTIF(Faculty!$B:$B,B22)</f>
        <v>1</v>
      </c>
      <c r="E22" s="6" t="n">
        <f aca="false">COUNTIFS(Faculty!$B:$B,B22,Faculty!$E:$E,"Y")</f>
        <v>0</v>
      </c>
      <c r="F22" s="6" t="n">
        <f aca="false">COUNTIFS(Faculty!$B:$B,B22,Faculty!$E:$E,"Partial")</f>
        <v>0</v>
      </c>
      <c r="G22" s="6" t="n">
        <f aca="false">SUMIF(Faculty!$B:$B,B22,Faculty!$F:$F)</f>
        <v>3</v>
      </c>
      <c r="H22" s="6" t="n">
        <f aca="false">_xlfn.MAXIFS(Faculty!$F:$F,Faculty!$B:$B,B22)</f>
        <v>3</v>
      </c>
      <c r="I22" s="6" t="n">
        <f aca="false">SUMIFS(Faculty!$F:$F,Faculty!$B:$B,B22,Faculty!$E:$E,"Y")+SUMIFS(Faculty!$F:$F,Faculty!$B:$B,B22,Faculty!$E:$E,"Partial")+README!$B$7*SUMIFS(Faculty!$F:$F,Faculty!$B:$B,B22,Faculty!$E:$E,"N")</f>
        <v>1.5</v>
      </c>
      <c r="J22" s="6" t="n">
        <f aca="false">SUMIF(Faculty!$B:$B,B22,Faculty!$K:$K)</f>
        <v>1</v>
      </c>
    </row>
    <row r="23" customFormat="false" ht="15" hidden="false" customHeight="false" outlineLevel="0" collapsed="false">
      <c r="A23" s="6" t="n">
        <f aca="false">RANK(I23,$I$2:$I$29)</f>
        <v>18</v>
      </c>
      <c r="B23" s="6" t="s">
        <v>59</v>
      </c>
      <c r="C23" s="6" t="s">
        <v>60</v>
      </c>
      <c r="D23" s="6" t="n">
        <f aca="false">COUNTIF(Faculty!$B:$B,B23)</f>
        <v>1</v>
      </c>
      <c r="E23" s="6" t="n">
        <f aca="false">COUNTIFS(Faculty!$B:$B,B23,Faculty!$E:$E,"Y")</f>
        <v>0</v>
      </c>
      <c r="F23" s="6" t="n">
        <f aca="false">COUNTIFS(Faculty!$B:$B,B23,Faculty!$E:$E,"Partial")</f>
        <v>0</v>
      </c>
      <c r="G23" s="6" t="n">
        <f aca="false">SUMIF(Faculty!$B:$B,B23,Faculty!$F:$F)</f>
        <v>3</v>
      </c>
      <c r="H23" s="6" t="n">
        <f aca="false">_xlfn.MAXIFS(Faculty!$F:$F,Faculty!$B:$B,B23)</f>
        <v>3</v>
      </c>
      <c r="I23" s="6" t="n">
        <f aca="false">SUMIFS(Faculty!$F:$F,Faculty!$B:$B,B23,Faculty!$E:$E,"Y")+SUMIFS(Faculty!$F:$F,Faculty!$B:$B,B23,Faculty!$E:$E,"Partial")+README!$B$7*SUMIFS(Faculty!$F:$F,Faculty!$B:$B,B23,Faculty!$E:$E,"N")</f>
        <v>1.5</v>
      </c>
      <c r="J23" s="6" t="n">
        <f aca="false">SUMIF(Faculty!$B:$B,B23,Faculty!$K:$K)</f>
        <v>1</v>
      </c>
    </row>
    <row r="24" customFormat="false" ht="15" hidden="false" customHeight="false" outlineLevel="0" collapsed="false">
      <c r="A24" s="6" t="n">
        <f aca="false">RANK(I24,$I$2:$I$29)</f>
        <v>23</v>
      </c>
      <c r="B24" s="6" t="s">
        <v>61</v>
      </c>
      <c r="C24" s="6" t="s">
        <v>62</v>
      </c>
      <c r="D24" s="6" t="n">
        <f aca="false">COUNTIF(Faculty!$B:$B,B24)</f>
        <v>1</v>
      </c>
      <c r="E24" s="6" t="n">
        <f aca="false">COUNTIFS(Faculty!$B:$B,B24,Faculty!$E:$E,"Y")</f>
        <v>0</v>
      </c>
      <c r="F24" s="6" t="n">
        <f aca="false">COUNTIFS(Faculty!$B:$B,B24,Faculty!$E:$E,"Partial")</f>
        <v>0</v>
      </c>
      <c r="G24" s="6" t="n">
        <f aca="false">SUMIF(Faculty!$B:$B,B24,Faculty!$F:$F)</f>
        <v>2</v>
      </c>
      <c r="H24" s="6" t="n">
        <f aca="false">_xlfn.MAXIFS(Faculty!$F:$F,Faculty!$B:$B,B24)</f>
        <v>2</v>
      </c>
      <c r="I24" s="6" t="n">
        <f aca="false">SUMIFS(Faculty!$F:$F,Faculty!$B:$B,B24,Faculty!$E:$E,"Y")+SUMIFS(Faculty!$F:$F,Faculty!$B:$B,B24,Faculty!$E:$E,"Partial")+README!$B$7*SUMIFS(Faculty!$F:$F,Faculty!$B:$B,B24,Faculty!$E:$E,"N")</f>
        <v>1</v>
      </c>
      <c r="J24" s="6" t="n">
        <f aca="false">SUMIF(Faculty!$B:$B,B24,Faculty!$K:$K)</f>
        <v>1</v>
      </c>
    </row>
    <row r="25" customFormat="false" ht="15" hidden="false" customHeight="false" outlineLevel="0" collapsed="false">
      <c r="A25" s="6" t="n">
        <f aca="false">RANK(I25,$I$2:$I$29)</f>
        <v>23</v>
      </c>
      <c r="B25" s="6" t="s">
        <v>63</v>
      </c>
      <c r="C25" s="6" t="s">
        <v>64</v>
      </c>
      <c r="D25" s="6" t="n">
        <f aca="false">COUNTIF(Faculty!$B:$B,B25)</f>
        <v>1</v>
      </c>
      <c r="E25" s="6" t="n">
        <f aca="false">COUNTIFS(Faculty!$B:$B,B25,Faculty!$E:$E,"Y")</f>
        <v>0</v>
      </c>
      <c r="F25" s="6" t="n">
        <f aca="false">COUNTIFS(Faculty!$B:$B,B25,Faculty!$E:$E,"Partial")</f>
        <v>0</v>
      </c>
      <c r="G25" s="6" t="n">
        <f aca="false">SUMIF(Faculty!$B:$B,B25,Faculty!$F:$F)</f>
        <v>2</v>
      </c>
      <c r="H25" s="6" t="n">
        <f aca="false">_xlfn.MAXIFS(Faculty!$F:$F,Faculty!$B:$B,B25)</f>
        <v>2</v>
      </c>
      <c r="I25" s="6" t="n">
        <f aca="false">SUMIFS(Faculty!$F:$F,Faculty!$B:$B,B25,Faculty!$E:$E,"Y")+SUMIFS(Faculty!$F:$F,Faculty!$B:$B,B25,Faculty!$E:$E,"Partial")+README!$B$7*SUMIFS(Faculty!$F:$F,Faculty!$B:$B,B25,Faculty!$E:$E,"N")</f>
        <v>1</v>
      </c>
      <c r="J25" s="6" t="n">
        <f aca="false">SUMIF(Faculty!$B:$B,B25,Faculty!$K:$K)</f>
        <v>1</v>
      </c>
    </row>
    <row r="26" customFormat="false" ht="15" hidden="false" customHeight="false" outlineLevel="0" collapsed="false">
      <c r="A26" s="6" t="n">
        <f aca="false">RANK(I26,$I$2:$I$29)</f>
        <v>23</v>
      </c>
      <c r="B26" s="6" t="s">
        <v>65</v>
      </c>
      <c r="C26" s="6" t="s">
        <v>66</v>
      </c>
      <c r="D26" s="6" t="n">
        <f aca="false">COUNTIF(Faculty!$B:$B,B26)</f>
        <v>1</v>
      </c>
      <c r="E26" s="6" t="n">
        <f aca="false">COUNTIFS(Faculty!$B:$B,B26,Faculty!$E:$E,"Y")</f>
        <v>0</v>
      </c>
      <c r="F26" s="6" t="n">
        <f aca="false">COUNTIFS(Faculty!$B:$B,B26,Faculty!$E:$E,"Partial")</f>
        <v>0</v>
      </c>
      <c r="G26" s="6" t="n">
        <f aca="false">SUMIF(Faculty!$B:$B,B26,Faculty!$F:$F)</f>
        <v>2</v>
      </c>
      <c r="H26" s="6" t="n">
        <f aca="false">_xlfn.MAXIFS(Faculty!$F:$F,Faculty!$B:$B,B26)</f>
        <v>2</v>
      </c>
      <c r="I26" s="6" t="n">
        <f aca="false">SUMIFS(Faculty!$F:$F,Faculty!$B:$B,B26,Faculty!$E:$E,"Y")+SUMIFS(Faculty!$F:$F,Faculty!$B:$B,B26,Faculty!$E:$E,"Partial")+README!$B$7*SUMIFS(Faculty!$F:$F,Faculty!$B:$B,B26,Faculty!$E:$E,"N")</f>
        <v>1</v>
      </c>
      <c r="J26" s="6" t="n">
        <f aca="false">SUMIF(Faculty!$B:$B,B26,Faculty!$K:$K)</f>
        <v>1</v>
      </c>
    </row>
    <row r="27" customFormat="false" ht="15" hidden="false" customHeight="false" outlineLevel="0" collapsed="false">
      <c r="A27" s="6" t="n">
        <f aca="false">RANK(I27,$I$2:$I$29)</f>
        <v>23</v>
      </c>
      <c r="B27" s="6" t="s">
        <v>67</v>
      </c>
      <c r="C27" s="6" t="s">
        <v>68</v>
      </c>
      <c r="D27" s="6" t="n">
        <f aca="false">COUNTIF(Faculty!$B:$B,B27)</f>
        <v>1</v>
      </c>
      <c r="E27" s="6" t="n">
        <f aca="false">COUNTIFS(Faculty!$B:$B,B27,Faculty!$E:$E,"Y")</f>
        <v>0</v>
      </c>
      <c r="F27" s="6" t="n">
        <f aca="false">COUNTIFS(Faculty!$B:$B,B27,Faculty!$E:$E,"Partial")</f>
        <v>0</v>
      </c>
      <c r="G27" s="6" t="n">
        <f aca="false">SUMIF(Faculty!$B:$B,B27,Faculty!$F:$F)</f>
        <v>2</v>
      </c>
      <c r="H27" s="6" t="n">
        <f aca="false">_xlfn.MAXIFS(Faculty!$F:$F,Faculty!$B:$B,B27)</f>
        <v>2</v>
      </c>
      <c r="I27" s="6" t="n">
        <f aca="false">SUMIFS(Faculty!$F:$F,Faculty!$B:$B,B27,Faculty!$E:$E,"Y")+SUMIFS(Faculty!$F:$F,Faculty!$B:$B,B27,Faculty!$E:$E,"Partial")+README!$B$7*SUMIFS(Faculty!$F:$F,Faculty!$B:$B,B27,Faculty!$E:$E,"N")</f>
        <v>1</v>
      </c>
      <c r="J27" s="6" t="n">
        <f aca="false">SUMIF(Faculty!$B:$B,B27,Faculty!$K:$K)</f>
        <v>2</v>
      </c>
    </row>
    <row r="28" customFormat="false" ht="15" hidden="false" customHeight="false" outlineLevel="0" collapsed="false">
      <c r="A28" s="6" t="n">
        <f aca="false">RANK(I28,$I$2:$I$29)</f>
        <v>23</v>
      </c>
      <c r="B28" s="6" t="s">
        <v>69</v>
      </c>
      <c r="C28" s="6" t="s">
        <v>68</v>
      </c>
      <c r="D28" s="6" t="n">
        <f aca="false">COUNTIF(Faculty!$B:$B,B28)</f>
        <v>1</v>
      </c>
      <c r="E28" s="6" t="n">
        <f aca="false">COUNTIFS(Faculty!$B:$B,B28,Faculty!$E:$E,"Y")</f>
        <v>0</v>
      </c>
      <c r="F28" s="6" t="n">
        <f aca="false">COUNTIFS(Faculty!$B:$B,B28,Faculty!$E:$E,"Partial")</f>
        <v>0</v>
      </c>
      <c r="G28" s="6" t="n">
        <f aca="false">SUMIF(Faculty!$B:$B,B28,Faculty!$F:$F)</f>
        <v>2</v>
      </c>
      <c r="H28" s="6" t="n">
        <f aca="false">_xlfn.MAXIFS(Faculty!$F:$F,Faculty!$B:$B,B28)</f>
        <v>2</v>
      </c>
      <c r="I28" s="6" t="n">
        <f aca="false">SUMIFS(Faculty!$F:$F,Faculty!$B:$B,B28,Faculty!$E:$E,"Y")+SUMIFS(Faculty!$F:$F,Faculty!$B:$B,B28,Faculty!$E:$E,"Partial")+README!$B$7*SUMIFS(Faculty!$F:$F,Faculty!$B:$B,B28,Faculty!$E:$E,"N")</f>
        <v>1</v>
      </c>
      <c r="J28" s="6" t="n">
        <f aca="false">SUMIF(Faculty!$B:$B,B28,Faculty!$K:$K)</f>
        <v>1</v>
      </c>
    </row>
    <row r="29" customFormat="false" ht="15" hidden="false" customHeight="false" outlineLevel="0" collapsed="false">
      <c r="A29" s="6" t="n">
        <f aca="false">RANK(I29,$I$2:$I$29)</f>
        <v>28</v>
      </c>
      <c r="B29" s="6" t="s">
        <v>70</v>
      </c>
      <c r="C29" s="6" t="s">
        <v>50</v>
      </c>
      <c r="D29" s="6" t="n">
        <f aca="false">COUNTIF(Faculty!$B:$B,B29)</f>
        <v>1</v>
      </c>
      <c r="E29" s="6" t="n">
        <f aca="false">COUNTIFS(Faculty!$B:$B,B29,Faculty!$E:$E,"Y")</f>
        <v>0</v>
      </c>
      <c r="F29" s="6" t="n">
        <f aca="false">COUNTIFS(Faculty!$B:$B,B29,Faculty!$E:$E,"Partial")</f>
        <v>0</v>
      </c>
      <c r="G29" s="6" t="n">
        <f aca="false">SUMIF(Faculty!$B:$B,B29,Faculty!$F:$F)</f>
        <v>1</v>
      </c>
      <c r="H29" s="6" t="n">
        <f aca="false">_xlfn.MAXIFS(Faculty!$F:$F,Faculty!$B:$B,B29)</f>
        <v>1</v>
      </c>
      <c r="I29" s="6" t="n">
        <f aca="false">SUMIFS(Faculty!$F:$F,Faculty!$B:$B,B29,Faculty!$E:$E,"Y")+SUMIFS(Faculty!$F:$F,Faculty!$B:$B,B29,Faculty!$E:$E,"Partial")+README!$B$7*SUMIFS(Faculty!$F:$F,Faculty!$B:$B,B29,Faculty!$E:$E,"N")</f>
        <v>0.5</v>
      </c>
      <c r="J29" s="6" t="n">
        <f aca="false">SUMIF(Faculty!$B:$B,B29,Faculty!$K:$K)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7"/>
    <col collapsed="false" customWidth="true" hidden="false" outlineLevel="0" max="4" min="4" style="0" width="32"/>
    <col collapsed="false" customWidth="true" hidden="false" outlineLevel="0" max="5" min="5" style="0" width="12"/>
    <col collapsed="false" customWidth="true" hidden="false" outlineLevel="0" max="6" min="6" style="0" width="9"/>
    <col collapsed="false" customWidth="true" hidden="false" outlineLevel="0" max="7" min="7" style="0" width="15"/>
    <col collapsed="false" customWidth="true" hidden="false" outlineLevel="0" max="8" min="8" style="0" width="60"/>
    <col collapsed="false" customWidth="true" hidden="false" outlineLevel="0" max="9" min="9" style="0" width="50"/>
    <col collapsed="false" customWidth="true" hidden="false" outlineLevel="0" max="10" min="10" style="0" width="12"/>
    <col collapsed="false" customWidth="true" hidden="false" outlineLevel="0" max="11" min="11" style="0" width="8"/>
  </cols>
  <sheetData>
    <row r="1" customFormat="false" ht="15" hidden="false" customHeight="false" outlineLevel="0" collapsed="false">
      <c r="A1" s="5" t="s">
        <v>71</v>
      </c>
      <c r="B1" s="5" t="s">
        <v>17</v>
      </c>
      <c r="C1" s="5" t="s">
        <v>18</v>
      </c>
      <c r="D1" s="5" t="s">
        <v>72</v>
      </c>
      <c r="E1" s="5" t="s">
        <v>5</v>
      </c>
      <c r="F1" s="5" t="s">
        <v>3</v>
      </c>
      <c r="G1" s="5" t="s">
        <v>73</v>
      </c>
      <c r="H1" s="5" t="s">
        <v>74</v>
      </c>
      <c r="I1" s="5" t="s">
        <v>75</v>
      </c>
      <c r="J1" s="5" t="s">
        <v>76</v>
      </c>
      <c r="K1" s="5" t="s">
        <v>24</v>
      </c>
    </row>
    <row r="2" customFormat="false" ht="15" hidden="false" customHeight="false" outlineLevel="0" collapsed="false">
      <c r="A2" s="6" t="s">
        <v>77</v>
      </c>
      <c r="B2" s="6" t="s">
        <v>25</v>
      </c>
      <c r="C2" s="6" t="s">
        <v>26</v>
      </c>
      <c r="D2" s="6" t="s">
        <v>78</v>
      </c>
      <c r="E2" s="7" t="s">
        <v>79</v>
      </c>
      <c r="F2" s="7" t="n">
        <v>5</v>
      </c>
      <c r="G2" s="6" t="s">
        <v>80</v>
      </c>
      <c r="H2" s="6" t="s">
        <v>81</v>
      </c>
      <c r="I2" s="8" t="s">
        <v>82</v>
      </c>
      <c r="J2" s="8" t="n">
        <f aca="false">COUNTIFS($B:$B,B2,$F:$F,"&gt;"&amp;F2)+1</f>
        <v>1</v>
      </c>
      <c r="K2" s="8" t="n">
        <f aca="false">COUNTIF(Papers!$E:$E,A2)</f>
        <v>2</v>
      </c>
    </row>
    <row r="3" customFormat="false" ht="15" hidden="false" customHeight="false" outlineLevel="0" collapsed="false">
      <c r="A3" s="6" t="s">
        <v>83</v>
      </c>
      <c r="B3" s="6" t="s">
        <v>25</v>
      </c>
      <c r="C3" s="6" t="s">
        <v>26</v>
      </c>
      <c r="D3" s="6" t="s">
        <v>84</v>
      </c>
      <c r="E3" s="7" t="s">
        <v>85</v>
      </c>
      <c r="F3" s="7" t="n">
        <v>4</v>
      </c>
      <c r="G3" s="6" t="s">
        <v>80</v>
      </c>
      <c r="H3" s="6" t="s">
        <v>86</v>
      </c>
      <c r="I3" s="8" t="s">
        <v>87</v>
      </c>
      <c r="J3" s="8" t="n">
        <f aca="false">COUNTIFS($B:$B,B3,$F:$F,"&gt;"&amp;F3)+1</f>
        <v>2</v>
      </c>
      <c r="K3" s="8" t="n">
        <f aca="false">COUNTIF(Papers!$E:$E,A3)</f>
        <v>1</v>
      </c>
    </row>
    <row r="4" customFormat="false" ht="15" hidden="false" customHeight="false" outlineLevel="0" collapsed="false">
      <c r="A4" s="6" t="s">
        <v>88</v>
      </c>
      <c r="B4" s="6" t="s">
        <v>25</v>
      </c>
      <c r="C4" s="6" t="s">
        <v>26</v>
      </c>
      <c r="D4" s="6" t="s">
        <v>84</v>
      </c>
      <c r="E4" s="7" t="s">
        <v>85</v>
      </c>
      <c r="F4" s="7" t="n">
        <v>4</v>
      </c>
      <c r="G4" s="6" t="s">
        <v>80</v>
      </c>
      <c r="H4" s="6" t="s">
        <v>89</v>
      </c>
      <c r="I4" s="8" t="s">
        <v>90</v>
      </c>
      <c r="J4" s="8" t="n">
        <f aca="false">COUNTIFS($B:$B,B4,$F:$F,"&gt;"&amp;F4)+1</f>
        <v>2</v>
      </c>
      <c r="K4" s="8" t="n">
        <f aca="false">COUNTIF(Papers!$E:$E,A4)</f>
        <v>2</v>
      </c>
    </row>
    <row r="5" customFormat="false" ht="15" hidden="false" customHeight="false" outlineLevel="0" collapsed="false">
      <c r="A5" s="6" t="s">
        <v>91</v>
      </c>
      <c r="B5" s="6" t="s">
        <v>25</v>
      </c>
      <c r="C5" s="6" t="s">
        <v>26</v>
      </c>
      <c r="D5" s="6" t="s">
        <v>92</v>
      </c>
      <c r="E5" s="7" t="s">
        <v>93</v>
      </c>
      <c r="F5" s="7" t="n">
        <v>4</v>
      </c>
      <c r="G5" s="6" t="s">
        <v>80</v>
      </c>
      <c r="H5" s="6" t="s">
        <v>94</v>
      </c>
      <c r="I5" s="8" t="s">
        <v>95</v>
      </c>
      <c r="J5" s="8" t="n">
        <f aca="false">COUNTIFS($B:$B,B5,$F:$F,"&gt;"&amp;F5)+1</f>
        <v>2</v>
      </c>
      <c r="K5" s="8" t="n">
        <f aca="false">COUNTIF(Papers!$E:$E,A5)</f>
        <v>3</v>
      </c>
    </row>
    <row r="6" customFormat="false" ht="15" hidden="false" customHeight="false" outlineLevel="0" collapsed="false">
      <c r="A6" s="6" t="s">
        <v>96</v>
      </c>
      <c r="B6" s="6" t="s">
        <v>25</v>
      </c>
      <c r="C6" s="6" t="s">
        <v>26</v>
      </c>
      <c r="D6" s="6" t="s">
        <v>84</v>
      </c>
      <c r="E6" s="7" t="s">
        <v>85</v>
      </c>
      <c r="F6" s="7" t="n">
        <v>3</v>
      </c>
      <c r="G6" s="6" t="s">
        <v>80</v>
      </c>
      <c r="H6" s="6" t="s">
        <v>97</v>
      </c>
      <c r="I6" s="8" t="s">
        <v>98</v>
      </c>
      <c r="J6" s="8" t="n">
        <f aca="false">COUNTIFS($B:$B,B6,$F:$F,"&gt;"&amp;F6)+1</f>
        <v>5</v>
      </c>
      <c r="K6" s="8" t="n">
        <f aca="false">COUNTIF(Papers!$E:$E,A6)</f>
        <v>2</v>
      </c>
    </row>
    <row r="7" customFormat="false" ht="15" hidden="false" customHeight="false" outlineLevel="0" collapsed="false">
      <c r="A7" s="6" t="s">
        <v>99</v>
      </c>
      <c r="B7" s="6" t="s">
        <v>25</v>
      </c>
      <c r="C7" s="6" t="s">
        <v>26</v>
      </c>
      <c r="D7" s="6" t="s">
        <v>100</v>
      </c>
      <c r="E7" s="7" t="s">
        <v>79</v>
      </c>
      <c r="F7" s="7" t="n">
        <v>3</v>
      </c>
      <c r="G7" s="6" t="s">
        <v>80</v>
      </c>
      <c r="H7" s="6" t="s">
        <v>101</v>
      </c>
      <c r="I7" s="8" t="s">
        <v>102</v>
      </c>
      <c r="J7" s="8" t="n">
        <f aca="false">COUNTIFS($B:$B,B7,$F:$F,"&gt;"&amp;F7)+1</f>
        <v>5</v>
      </c>
      <c r="K7" s="8" t="n">
        <f aca="false">COUNTIF(Papers!$E:$E,A7)</f>
        <v>2</v>
      </c>
    </row>
    <row r="8" customFormat="false" ht="15" hidden="false" customHeight="false" outlineLevel="0" collapsed="false">
      <c r="A8" s="6" t="s">
        <v>103</v>
      </c>
      <c r="B8" s="6" t="s">
        <v>25</v>
      </c>
      <c r="C8" s="6" t="s">
        <v>26</v>
      </c>
      <c r="D8" s="6" t="s">
        <v>104</v>
      </c>
      <c r="E8" s="7" t="s">
        <v>79</v>
      </c>
      <c r="F8" s="7" t="n">
        <v>3</v>
      </c>
      <c r="G8" s="6" t="s">
        <v>80</v>
      </c>
      <c r="H8" s="6" t="s">
        <v>105</v>
      </c>
      <c r="I8" s="8" t="s">
        <v>106</v>
      </c>
      <c r="J8" s="8" t="n">
        <f aca="false">COUNTIFS($B:$B,B8,$F:$F,"&gt;"&amp;F8)+1</f>
        <v>5</v>
      </c>
      <c r="K8" s="8" t="n">
        <f aca="false">COUNTIF(Papers!$E:$E,A8)</f>
        <v>1</v>
      </c>
    </row>
    <row r="9" customFormat="false" ht="15" hidden="false" customHeight="false" outlineLevel="0" collapsed="false">
      <c r="A9" s="6" t="s">
        <v>107</v>
      </c>
      <c r="B9" s="6" t="s">
        <v>25</v>
      </c>
      <c r="C9" s="6" t="s">
        <v>26</v>
      </c>
      <c r="D9" s="6" t="s">
        <v>84</v>
      </c>
      <c r="E9" s="7" t="s">
        <v>85</v>
      </c>
      <c r="F9" s="7" t="n">
        <v>3</v>
      </c>
      <c r="G9" s="6" t="s">
        <v>80</v>
      </c>
      <c r="H9" s="6" t="s">
        <v>108</v>
      </c>
      <c r="I9" s="8" t="s">
        <v>109</v>
      </c>
      <c r="J9" s="8" t="n">
        <f aca="false">COUNTIFS($B:$B,B9,$F:$F,"&gt;"&amp;F9)+1</f>
        <v>5</v>
      </c>
      <c r="K9" s="8" t="n">
        <f aca="false">COUNTIF(Papers!$E:$E,A9)</f>
        <v>2</v>
      </c>
    </row>
    <row r="10" customFormat="false" ht="15" hidden="false" customHeight="false" outlineLevel="0" collapsed="false">
      <c r="A10" s="6" t="s">
        <v>110</v>
      </c>
      <c r="B10" s="6" t="s">
        <v>25</v>
      </c>
      <c r="C10" s="6" t="s">
        <v>26</v>
      </c>
      <c r="D10" s="6" t="s">
        <v>111</v>
      </c>
      <c r="E10" s="7" t="s">
        <v>93</v>
      </c>
      <c r="F10" s="7" t="n">
        <v>3</v>
      </c>
      <c r="G10" s="6" t="s">
        <v>80</v>
      </c>
      <c r="H10" s="6" t="s">
        <v>112</v>
      </c>
      <c r="I10" s="8" t="s">
        <v>113</v>
      </c>
      <c r="J10" s="8" t="n">
        <f aca="false">COUNTIFS($B:$B,B10,$F:$F,"&gt;"&amp;F10)+1</f>
        <v>5</v>
      </c>
      <c r="K10" s="8" t="n">
        <f aca="false">COUNTIF(Papers!$E:$E,A10)</f>
        <v>1</v>
      </c>
    </row>
    <row r="11" customFormat="false" ht="15" hidden="false" customHeight="false" outlineLevel="0" collapsed="false">
      <c r="A11" s="6" t="s">
        <v>114</v>
      </c>
      <c r="B11" s="6" t="s">
        <v>25</v>
      </c>
      <c r="C11" s="6" t="s">
        <v>26</v>
      </c>
      <c r="D11" s="6" t="s">
        <v>115</v>
      </c>
      <c r="E11" s="7" t="s">
        <v>85</v>
      </c>
      <c r="F11" s="7" t="n">
        <v>2</v>
      </c>
      <c r="G11" s="6" t="s">
        <v>80</v>
      </c>
      <c r="H11" s="8"/>
      <c r="I11" s="8" t="s">
        <v>116</v>
      </c>
      <c r="J11" s="8" t="n">
        <f aca="false">COUNTIFS($B:$B,B11,$F:$F,"&gt;"&amp;F11)+1</f>
        <v>10</v>
      </c>
      <c r="K11" s="8" t="n">
        <f aca="false">COUNTIF(Papers!$E:$E,A11)</f>
        <v>1</v>
      </c>
    </row>
    <row r="12" customFormat="false" ht="15" hidden="false" customHeight="false" outlineLevel="0" collapsed="false">
      <c r="A12" s="6" t="s">
        <v>117</v>
      </c>
      <c r="B12" s="6" t="s">
        <v>25</v>
      </c>
      <c r="C12" s="6" t="s">
        <v>26</v>
      </c>
      <c r="D12" s="6" t="s">
        <v>118</v>
      </c>
      <c r="E12" s="7" t="s">
        <v>85</v>
      </c>
      <c r="F12" s="7" t="n">
        <v>2</v>
      </c>
      <c r="G12" s="6" t="s">
        <v>80</v>
      </c>
      <c r="H12" s="6" t="s">
        <v>119</v>
      </c>
      <c r="I12" s="8" t="s">
        <v>120</v>
      </c>
      <c r="J12" s="8" t="n">
        <f aca="false">COUNTIFS($B:$B,B12,$F:$F,"&gt;"&amp;F12)+1</f>
        <v>10</v>
      </c>
      <c r="K12" s="8" t="n">
        <f aca="false">COUNTIF(Papers!$E:$E,A12)</f>
        <v>2</v>
      </c>
    </row>
    <row r="13" customFormat="false" ht="15" hidden="false" customHeight="false" outlineLevel="0" collapsed="false">
      <c r="A13" s="6" t="s">
        <v>121</v>
      </c>
      <c r="B13" s="6" t="s">
        <v>25</v>
      </c>
      <c r="C13" s="6" t="s">
        <v>26</v>
      </c>
      <c r="D13" s="6" t="s">
        <v>84</v>
      </c>
      <c r="E13" s="7" t="s">
        <v>85</v>
      </c>
      <c r="F13" s="7" t="n">
        <v>2</v>
      </c>
      <c r="G13" s="6" t="s">
        <v>80</v>
      </c>
      <c r="H13" s="8"/>
      <c r="I13" s="8" t="s">
        <v>122</v>
      </c>
      <c r="J13" s="8" t="n">
        <f aca="false">COUNTIFS($B:$B,B13,$F:$F,"&gt;"&amp;F13)+1</f>
        <v>10</v>
      </c>
      <c r="K13" s="8" t="n">
        <f aca="false">COUNTIF(Papers!$E:$E,A13)</f>
        <v>1</v>
      </c>
    </row>
    <row r="14" customFormat="false" ht="15" hidden="false" customHeight="false" outlineLevel="0" collapsed="false">
      <c r="A14" s="6" t="s">
        <v>123</v>
      </c>
      <c r="B14" s="6" t="s">
        <v>25</v>
      </c>
      <c r="C14" s="6" t="s">
        <v>26</v>
      </c>
      <c r="D14" s="6" t="s">
        <v>84</v>
      </c>
      <c r="E14" s="7" t="s">
        <v>85</v>
      </c>
      <c r="F14" s="7" t="n">
        <v>2</v>
      </c>
      <c r="G14" s="6" t="s">
        <v>80</v>
      </c>
      <c r="H14" s="6" t="s">
        <v>124</v>
      </c>
      <c r="I14" s="8" t="s">
        <v>125</v>
      </c>
      <c r="J14" s="8" t="n">
        <f aca="false">COUNTIFS($B:$B,B14,$F:$F,"&gt;"&amp;F14)+1</f>
        <v>10</v>
      </c>
      <c r="K14" s="8" t="n">
        <f aca="false">COUNTIF(Papers!$E:$E,A14)</f>
        <v>1</v>
      </c>
    </row>
    <row r="15" customFormat="false" ht="15" hidden="false" customHeight="false" outlineLevel="0" collapsed="false">
      <c r="A15" s="6" t="s">
        <v>126</v>
      </c>
      <c r="B15" s="6" t="s">
        <v>25</v>
      </c>
      <c r="C15" s="6" t="s">
        <v>26</v>
      </c>
      <c r="D15" s="6" t="s">
        <v>127</v>
      </c>
      <c r="E15" s="7" t="s">
        <v>93</v>
      </c>
      <c r="F15" s="7" t="n">
        <v>2</v>
      </c>
      <c r="G15" s="6" t="s">
        <v>80</v>
      </c>
      <c r="H15" s="8"/>
      <c r="I15" s="8" t="s">
        <v>95</v>
      </c>
      <c r="J15" s="8" t="n">
        <f aca="false">COUNTIFS($B:$B,B15,$F:$F,"&gt;"&amp;F15)+1</f>
        <v>10</v>
      </c>
      <c r="K15" s="8" t="n">
        <f aca="false">COUNTIF(Papers!$E:$E,A15)</f>
        <v>1</v>
      </c>
    </row>
    <row r="16" customFormat="false" ht="15" hidden="false" customHeight="false" outlineLevel="0" collapsed="false">
      <c r="A16" s="6" t="s">
        <v>128</v>
      </c>
      <c r="B16" s="6" t="s">
        <v>25</v>
      </c>
      <c r="C16" s="6" t="s">
        <v>26</v>
      </c>
      <c r="D16" s="6" t="s">
        <v>129</v>
      </c>
      <c r="E16" s="7" t="s">
        <v>93</v>
      </c>
      <c r="F16" s="7" t="n">
        <v>2</v>
      </c>
      <c r="G16" s="6" t="s">
        <v>80</v>
      </c>
      <c r="H16" s="6" t="s">
        <v>130</v>
      </c>
      <c r="I16" s="8" t="s">
        <v>131</v>
      </c>
      <c r="J16" s="8" t="n">
        <f aca="false">COUNTIFS($B:$B,B16,$F:$F,"&gt;"&amp;F16)+1</f>
        <v>10</v>
      </c>
      <c r="K16" s="8" t="n">
        <f aca="false">COUNTIF(Papers!$E:$E,A16)</f>
        <v>2</v>
      </c>
    </row>
    <row r="17" customFormat="false" ht="15" hidden="false" customHeight="false" outlineLevel="0" collapsed="false">
      <c r="A17" s="6" t="s">
        <v>132</v>
      </c>
      <c r="B17" s="6" t="s">
        <v>27</v>
      </c>
      <c r="C17" s="6" t="s">
        <v>28</v>
      </c>
      <c r="D17" s="6" t="s">
        <v>133</v>
      </c>
      <c r="E17" s="7" t="s">
        <v>85</v>
      </c>
      <c r="F17" s="7" t="n">
        <v>5</v>
      </c>
      <c r="G17" s="6" t="s">
        <v>134</v>
      </c>
      <c r="H17" s="6" t="s">
        <v>135</v>
      </c>
      <c r="I17" s="8" t="s">
        <v>136</v>
      </c>
      <c r="J17" s="8" t="n">
        <f aca="false">COUNTIFS($B:$B,B17,$F:$F,"&gt;"&amp;F17)+1</f>
        <v>1</v>
      </c>
      <c r="K17" s="8" t="n">
        <f aca="false">COUNTIF(Papers!$E:$E,A17)</f>
        <v>1</v>
      </c>
    </row>
    <row r="18" customFormat="false" ht="15" hidden="false" customHeight="false" outlineLevel="0" collapsed="false">
      <c r="A18" s="6" t="s">
        <v>137</v>
      </c>
      <c r="B18" s="6" t="s">
        <v>27</v>
      </c>
      <c r="C18" s="6" t="s">
        <v>28</v>
      </c>
      <c r="D18" s="6" t="s">
        <v>138</v>
      </c>
      <c r="E18" s="7" t="s">
        <v>85</v>
      </c>
      <c r="F18" s="7" t="n">
        <v>4</v>
      </c>
      <c r="G18" s="6" t="s">
        <v>139</v>
      </c>
      <c r="H18" s="6" t="s">
        <v>140</v>
      </c>
      <c r="I18" s="8" t="s">
        <v>141</v>
      </c>
      <c r="J18" s="8" t="n">
        <f aca="false">COUNTIFS($B:$B,B18,$F:$F,"&gt;"&amp;F18)+1</f>
        <v>2</v>
      </c>
      <c r="K18" s="8" t="n">
        <f aca="false">COUNTIF(Papers!$E:$E,A18)</f>
        <v>1</v>
      </c>
    </row>
    <row r="19" customFormat="false" ht="15" hidden="false" customHeight="false" outlineLevel="0" collapsed="false">
      <c r="A19" s="6" t="s">
        <v>142</v>
      </c>
      <c r="B19" s="6" t="s">
        <v>27</v>
      </c>
      <c r="C19" s="6" t="s">
        <v>28</v>
      </c>
      <c r="D19" s="6" t="s">
        <v>143</v>
      </c>
      <c r="E19" s="7" t="s">
        <v>85</v>
      </c>
      <c r="F19" s="7" t="n">
        <v>4</v>
      </c>
      <c r="G19" s="6" t="s">
        <v>139</v>
      </c>
      <c r="H19" s="6" t="s">
        <v>144</v>
      </c>
      <c r="I19" s="8" t="s">
        <v>145</v>
      </c>
      <c r="J19" s="8" t="n">
        <f aca="false">COUNTIFS($B:$B,B19,$F:$F,"&gt;"&amp;F19)+1</f>
        <v>2</v>
      </c>
      <c r="K19" s="8" t="n">
        <f aca="false">COUNTIF(Papers!$E:$E,A19)</f>
        <v>1</v>
      </c>
    </row>
    <row r="20" customFormat="false" ht="15" hidden="false" customHeight="false" outlineLevel="0" collapsed="false">
      <c r="A20" s="6" t="s">
        <v>146</v>
      </c>
      <c r="B20" s="6" t="s">
        <v>27</v>
      </c>
      <c r="C20" s="6" t="s">
        <v>28</v>
      </c>
      <c r="D20" s="6" t="s">
        <v>84</v>
      </c>
      <c r="E20" s="7" t="s">
        <v>85</v>
      </c>
      <c r="F20" s="7" t="n">
        <v>4</v>
      </c>
      <c r="G20" s="6" t="s">
        <v>139</v>
      </c>
      <c r="H20" s="6" t="s">
        <v>147</v>
      </c>
      <c r="I20" s="8" t="s">
        <v>148</v>
      </c>
      <c r="J20" s="8" t="n">
        <f aca="false">COUNTIFS($B:$B,B20,$F:$F,"&gt;"&amp;F20)+1</f>
        <v>2</v>
      </c>
      <c r="K20" s="8" t="n">
        <f aca="false">COUNTIF(Papers!$E:$E,A20)</f>
        <v>1</v>
      </c>
    </row>
    <row r="21" customFormat="false" ht="15" hidden="false" customHeight="false" outlineLevel="0" collapsed="false">
      <c r="A21" s="6" t="s">
        <v>149</v>
      </c>
      <c r="B21" s="6" t="s">
        <v>27</v>
      </c>
      <c r="C21" s="6" t="s">
        <v>28</v>
      </c>
      <c r="D21" s="6" t="s">
        <v>84</v>
      </c>
      <c r="E21" s="7" t="s">
        <v>85</v>
      </c>
      <c r="F21" s="7" t="n">
        <v>3</v>
      </c>
      <c r="G21" s="6" t="s">
        <v>139</v>
      </c>
      <c r="H21" s="6" t="s">
        <v>150</v>
      </c>
      <c r="I21" s="8" t="s">
        <v>151</v>
      </c>
      <c r="J21" s="8" t="n">
        <f aca="false">COUNTIFS($B:$B,B21,$F:$F,"&gt;"&amp;F21)+1</f>
        <v>5</v>
      </c>
      <c r="K21" s="8" t="n">
        <f aca="false">COUNTIF(Papers!$E:$E,A21)</f>
        <v>1</v>
      </c>
    </row>
    <row r="22" customFormat="false" ht="15" hidden="false" customHeight="false" outlineLevel="0" collapsed="false">
      <c r="A22" s="6" t="s">
        <v>152</v>
      </c>
      <c r="B22" s="6" t="s">
        <v>27</v>
      </c>
      <c r="C22" s="6" t="s">
        <v>28</v>
      </c>
      <c r="D22" s="6" t="s">
        <v>92</v>
      </c>
      <c r="E22" s="7" t="s">
        <v>93</v>
      </c>
      <c r="F22" s="7" t="n">
        <v>3</v>
      </c>
      <c r="G22" s="6" t="s">
        <v>139</v>
      </c>
      <c r="H22" s="6" t="s">
        <v>153</v>
      </c>
      <c r="I22" s="8" t="s">
        <v>154</v>
      </c>
      <c r="J22" s="8" t="n">
        <f aca="false">COUNTIFS($B:$B,B22,$F:$F,"&gt;"&amp;F22)+1</f>
        <v>5</v>
      </c>
      <c r="K22" s="8" t="n">
        <f aca="false">COUNTIF(Papers!$E:$E,A22)</f>
        <v>2</v>
      </c>
    </row>
    <row r="23" customFormat="false" ht="15" hidden="false" customHeight="false" outlineLevel="0" collapsed="false">
      <c r="A23" s="6" t="s">
        <v>155</v>
      </c>
      <c r="B23" s="6" t="s">
        <v>27</v>
      </c>
      <c r="C23" s="6" t="s">
        <v>28</v>
      </c>
      <c r="D23" s="6" t="s">
        <v>156</v>
      </c>
      <c r="E23" s="7" t="s">
        <v>93</v>
      </c>
      <c r="F23" s="7" t="n">
        <v>2</v>
      </c>
      <c r="G23" s="6" t="s">
        <v>139</v>
      </c>
      <c r="H23" s="6" t="s">
        <v>157</v>
      </c>
      <c r="I23" s="8" t="s">
        <v>158</v>
      </c>
      <c r="J23" s="8" t="n">
        <f aca="false">COUNTIFS($B:$B,B23,$F:$F,"&gt;"&amp;F23)+1</f>
        <v>7</v>
      </c>
      <c r="K23" s="8" t="n">
        <f aca="false">COUNTIF(Papers!$E:$E,A23)</f>
        <v>1</v>
      </c>
    </row>
    <row r="24" customFormat="false" ht="15" hidden="false" customHeight="false" outlineLevel="0" collapsed="false">
      <c r="A24" s="6" t="s">
        <v>159</v>
      </c>
      <c r="B24" s="6" t="s">
        <v>29</v>
      </c>
      <c r="C24" s="6" t="s">
        <v>30</v>
      </c>
      <c r="D24" s="6" t="s">
        <v>160</v>
      </c>
      <c r="E24" s="7" t="s">
        <v>93</v>
      </c>
      <c r="F24" s="7" t="n">
        <v>5</v>
      </c>
      <c r="G24" s="6" t="s">
        <v>134</v>
      </c>
      <c r="H24" s="6" t="s">
        <v>161</v>
      </c>
      <c r="I24" s="8" t="s">
        <v>162</v>
      </c>
      <c r="J24" s="8" t="n">
        <f aca="false">COUNTIFS($B:$B,B24,$F:$F,"&gt;"&amp;F24)+1</f>
        <v>1</v>
      </c>
      <c r="K24" s="8" t="n">
        <f aca="false">COUNTIF(Papers!$E:$E,A24)</f>
        <v>10</v>
      </c>
    </row>
    <row r="25" customFormat="false" ht="15" hidden="false" customHeight="false" outlineLevel="0" collapsed="false">
      <c r="A25" s="6" t="s">
        <v>163</v>
      </c>
      <c r="B25" s="6" t="s">
        <v>29</v>
      </c>
      <c r="C25" s="6" t="s">
        <v>30</v>
      </c>
      <c r="D25" s="6" t="s">
        <v>164</v>
      </c>
      <c r="E25" s="7" t="s">
        <v>93</v>
      </c>
      <c r="F25" s="7" t="n">
        <v>4</v>
      </c>
      <c r="G25" s="6" t="s">
        <v>134</v>
      </c>
      <c r="H25" s="6" t="s">
        <v>165</v>
      </c>
      <c r="I25" s="8" t="s">
        <v>166</v>
      </c>
      <c r="J25" s="8" t="n">
        <f aca="false">COUNTIFS($B:$B,B25,$F:$F,"&gt;"&amp;F25)+1</f>
        <v>2</v>
      </c>
      <c r="K25" s="8" t="n">
        <f aca="false">COUNTIF(Papers!$E:$E,A25)</f>
        <v>2</v>
      </c>
    </row>
    <row r="26" customFormat="false" ht="15" hidden="false" customHeight="false" outlineLevel="0" collapsed="false">
      <c r="A26" s="6" t="s">
        <v>167</v>
      </c>
      <c r="B26" s="6" t="s">
        <v>29</v>
      </c>
      <c r="C26" s="6" t="s">
        <v>30</v>
      </c>
      <c r="D26" s="6" t="s">
        <v>84</v>
      </c>
      <c r="E26" s="7" t="s">
        <v>85</v>
      </c>
      <c r="F26" s="7" t="n">
        <v>4</v>
      </c>
      <c r="G26" s="6" t="s">
        <v>139</v>
      </c>
      <c r="H26" s="6" t="s">
        <v>168</v>
      </c>
      <c r="I26" s="8" t="s">
        <v>169</v>
      </c>
      <c r="J26" s="8" t="n">
        <f aca="false">COUNTIFS($B:$B,B26,$F:$F,"&gt;"&amp;F26)+1</f>
        <v>2</v>
      </c>
      <c r="K26" s="8" t="n">
        <f aca="false">COUNTIF(Papers!$E:$E,A26)</f>
        <v>3</v>
      </c>
    </row>
    <row r="27" customFormat="false" ht="15" hidden="false" customHeight="false" outlineLevel="0" collapsed="false">
      <c r="A27" s="6" t="s">
        <v>170</v>
      </c>
      <c r="B27" s="6" t="s">
        <v>29</v>
      </c>
      <c r="C27" s="6" t="s">
        <v>30</v>
      </c>
      <c r="D27" s="6" t="s">
        <v>84</v>
      </c>
      <c r="E27" s="7" t="s">
        <v>85</v>
      </c>
      <c r="F27" s="7" t="n">
        <v>3</v>
      </c>
      <c r="G27" s="6" t="s">
        <v>134</v>
      </c>
      <c r="H27" s="6" t="s">
        <v>171</v>
      </c>
      <c r="I27" s="8" t="s">
        <v>172</v>
      </c>
      <c r="J27" s="8" t="n">
        <f aca="false">COUNTIFS($B:$B,B27,$F:$F,"&gt;"&amp;F27)+1</f>
        <v>4</v>
      </c>
      <c r="K27" s="8" t="n">
        <f aca="false">COUNTIF(Papers!$E:$E,A27)</f>
        <v>2</v>
      </c>
    </row>
    <row r="28" customFormat="false" ht="15" hidden="false" customHeight="false" outlineLevel="0" collapsed="false">
      <c r="A28" s="6" t="s">
        <v>173</v>
      </c>
      <c r="B28" s="6" t="s">
        <v>29</v>
      </c>
      <c r="C28" s="6" t="s">
        <v>30</v>
      </c>
      <c r="D28" s="6" t="s">
        <v>84</v>
      </c>
      <c r="E28" s="7" t="s">
        <v>85</v>
      </c>
      <c r="F28" s="7" t="n">
        <v>3</v>
      </c>
      <c r="G28" s="6" t="s">
        <v>134</v>
      </c>
      <c r="H28" s="6" t="s">
        <v>174</v>
      </c>
      <c r="I28" s="8" t="s">
        <v>175</v>
      </c>
      <c r="J28" s="8" t="n">
        <f aca="false">COUNTIFS($B:$B,B28,$F:$F,"&gt;"&amp;F28)+1</f>
        <v>4</v>
      </c>
      <c r="K28" s="8" t="n">
        <f aca="false">COUNTIF(Papers!$E:$E,A28)</f>
        <v>0</v>
      </c>
    </row>
    <row r="29" customFormat="false" ht="15" hidden="false" customHeight="false" outlineLevel="0" collapsed="false">
      <c r="A29" s="6" t="s">
        <v>176</v>
      </c>
      <c r="B29" s="6" t="s">
        <v>29</v>
      </c>
      <c r="C29" s="6" t="s">
        <v>30</v>
      </c>
      <c r="D29" s="6" t="s">
        <v>92</v>
      </c>
      <c r="E29" s="7" t="s">
        <v>93</v>
      </c>
      <c r="F29" s="7" t="n">
        <v>2</v>
      </c>
      <c r="G29" s="6" t="s">
        <v>134</v>
      </c>
      <c r="H29" s="6" t="s">
        <v>177</v>
      </c>
      <c r="I29" s="8" t="s">
        <v>178</v>
      </c>
      <c r="J29" s="8" t="n">
        <f aca="false">COUNTIFS($B:$B,B29,$F:$F,"&gt;"&amp;F29)+1</f>
        <v>6</v>
      </c>
      <c r="K29" s="8" t="n">
        <f aca="false">COUNTIF(Papers!$E:$E,A29)</f>
        <v>1</v>
      </c>
    </row>
    <row r="30" customFormat="false" ht="15" hidden="false" customHeight="false" outlineLevel="0" collapsed="false">
      <c r="A30" s="6" t="s">
        <v>179</v>
      </c>
      <c r="B30" s="6" t="s">
        <v>29</v>
      </c>
      <c r="C30" s="6" t="s">
        <v>30</v>
      </c>
      <c r="D30" s="6" t="s">
        <v>92</v>
      </c>
      <c r="E30" s="7" t="s">
        <v>93</v>
      </c>
      <c r="F30" s="7" t="n">
        <v>2</v>
      </c>
      <c r="G30" s="6" t="s">
        <v>134</v>
      </c>
      <c r="H30" s="8"/>
      <c r="I30" s="8" t="s">
        <v>180</v>
      </c>
      <c r="J30" s="8" t="n">
        <f aca="false">COUNTIFS($B:$B,B30,$F:$F,"&gt;"&amp;F30)+1</f>
        <v>6</v>
      </c>
      <c r="K30" s="8" t="n">
        <f aca="false">COUNTIF(Papers!$E:$E,A30)</f>
        <v>1</v>
      </c>
    </row>
    <row r="31" customFormat="false" ht="15" hidden="false" customHeight="false" outlineLevel="0" collapsed="false">
      <c r="A31" s="6" t="s">
        <v>181</v>
      </c>
      <c r="B31" s="6" t="s">
        <v>31</v>
      </c>
      <c r="C31" s="6" t="s">
        <v>32</v>
      </c>
      <c r="D31" s="6" t="s">
        <v>84</v>
      </c>
      <c r="E31" s="7" t="s">
        <v>85</v>
      </c>
      <c r="F31" s="7" t="n">
        <v>5</v>
      </c>
      <c r="G31" s="6" t="s">
        <v>139</v>
      </c>
      <c r="H31" s="6" t="s">
        <v>182</v>
      </c>
      <c r="I31" s="8" t="s">
        <v>183</v>
      </c>
      <c r="J31" s="8" t="n">
        <f aca="false">COUNTIFS($B:$B,B31,$F:$F,"&gt;"&amp;F31)+1</f>
        <v>1</v>
      </c>
      <c r="K31" s="8" t="n">
        <f aca="false">COUNTIF(Papers!$E:$E,A31)</f>
        <v>2</v>
      </c>
    </row>
    <row r="32" customFormat="false" ht="15" hidden="false" customHeight="false" outlineLevel="0" collapsed="false">
      <c r="A32" s="6" t="s">
        <v>184</v>
      </c>
      <c r="B32" s="6" t="s">
        <v>31</v>
      </c>
      <c r="C32" s="6" t="s">
        <v>32</v>
      </c>
      <c r="D32" s="6" t="s">
        <v>92</v>
      </c>
      <c r="E32" s="7" t="s">
        <v>93</v>
      </c>
      <c r="F32" s="7" t="n">
        <v>3</v>
      </c>
      <c r="G32" s="6" t="s">
        <v>134</v>
      </c>
      <c r="H32" s="6" t="s">
        <v>185</v>
      </c>
      <c r="I32" s="8" t="s">
        <v>186</v>
      </c>
      <c r="J32" s="8" t="n">
        <f aca="false">COUNTIFS($B:$B,B32,$F:$F,"&gt;"&amp;F32)+1</f>
        <v>2</v>
      </c>
      <c r="K32" s="8" t="n">
        <f aca="false">COUNTIF(Papers!$E:$E,A32)</f>
        <v>2</v>
      </c>
    </row>
    <row r="33" customFormat="false" ht="15" hidden="false" customHeight="false" outlineLevel="0" collapsed="false">
      <c r="A33" s="6" t="s">
        <v>187</v>
      </c>
      <c r="B33" s="6" t="s">
        <v>31</v>
      </c>
      <c r="C33" s="6" t="s">
        <v>32</v>
      </c>
      <c r="D33" s="6" t="s">
        <v>84</v>
      </c>
      <c r="E33" s="7" t="s">
        <v>85</v>
      </c>
      <c r="F33" s="7" t="n">
        <v>3</v>
      </c>
      <c r="G33" s="6" t="s">
        <v>134</v>
      </c>
      <c r="H33" s="6" t="s">
        <v>188</v>
      </c>
      <c r="I33" s="8" t="s">
        <v>189</v>
      </c>
      <c r="J33" s="8" t="n">
        <f aca="false">COUNTIFS($B:$B,B33,$F:$F,"&gt;"&amp;F33)+1</f>
        <v>2</v>
      </c>
      <c r="K33" s="8" t="n">
        <f aca="false">COUNTIF(Papers!$E:$E,A33)</f>
        <v>0</v>
      </c>
    </row>
    <row r="34" customFormat="false" ht="15" hidden="false" customHeight="false" outlineLevel="0" collapsed="false">
      <c r="A34" s="6" t="s">
        <v>190</v>
      </c>
      <c r="B34" s="6" t="s">
        <v>33</v>
      </c>
      <c r="C34" s="6" t="s">
        <v>34</v>
      </c>
      <c r="D34" s="6" t="s">
        <v>84</v>
      </c>
      <c r="E34" s="7" t="s">
        <v>85</v>
      </c>
      <c r="F34" s="7" t="n">
        <v>4</v>
      </c>
      <c r="G34" s="6" t="s">
        <v>139</v>
      </c>
      <c r="H34" s="6" t="s">
        <v>191</v>
      </c>
      <c r="I34" s="8" t="s">
        <v>192</v>
      </c>
      <c r="J34" s="8" t="n">
        <f aca="false">COUNTIFS($B:$B,B34,$F:$F,"&gt;"&amp;F34)+1</f>
        <v>1</v>
      </c>
      <c r="K34" s="8" t="n">
        <f aca="false">COUNTIF(Papers!$E:$E,A34)</f>
        <v>2</v>
      </c>
    </row>
    <row r="35" customFormat="false" ht="15" hidden="false" customHeight="false" outlineLevel="0" collapsed="false">
      <c r="A35" s="6" t="s">
        <v>193</v>
      </c>
      <c r="B35" s="6" t="s">
        <v>33</v>
      </c>
      <c r="C35" s="6" t="s">
        <v>34</v>
      </c>
      <c r="D35" s="6" t="s">
        <v>84</v>
      </c>
      <c r="E35" s="7" t="s">
        <v>85</v>
      </c>
      <c r="F35" s="7" t="n">
        <v>3</v>
      </c>
      <c r="G35" s="6" t="s">
        <v>139</v>
      </c>
      <c r="H35" s="8"/>
      <c r="I35" s="8" t="s">
        <v>194</v>
      </c>
      <c r="J35" s="8" t="n">
        <f aca="false">COUNTIFS($B:$B,B35,$F:$F,"&gt;"&amp;F35)+1</f>
        <v>2</v>
      </c>
      <c r="K35" s="8" t="n">
        <f aca="false">COUNTIF(Papers!$E:$E,A35)</f>
        <v>2</v>
      </c>
    </row>
    <row r="36" customFormat="false" ht="15" hidden="false" customHeight="false" outlineLevel="0" collapsed="false">
      <c r="A36" s="6" t="s">
        <v>195</v>
      </c>
      <c r="B36" s="6" t="s">
        <v>33</v>
      </c>
      <c r="C36" s="6" t="s">
        <v>34</v>
      </c>
      <c r="D36" s="6" t="s">
        <v>196</v>
      </c>
      <c r="E36" s="7" t="s">
        <v>93</v>
      </c>
      <c r="F36" s="7" t="n">
        <v>1</v>
      </c>
      <c r="G36" s="6" t="s">
        <v>134</v>
      </c>
      <c r="H36" s="6" t="s">
        <v>197</v>
      </c>
      <c r="I36" s="8" t="s">
        <v>198</v>
      </c>
      <c r="J36" s="8" t="n">
        <f aca="false">COUNTIFS($B:$B,B36,$F:$F,"&gt;"&amp;F36)+1</f>
        <v>3</v>
      </c>
      <c r="K36" s="8" t="n">
        <f aca="false">COUNTIF(Papers!$E:$E,A36)</f>
        <v>1</v>
      </c>
    </row>
    <row r="37" customFormat="false" ht="15" hidden="false" customHeight="false" outlineLevel="0" collapsed="false">
      <c r="A37" s="6" t="s">
        <v>199</v>
      </c>
      <c r="B37" s="6" t="s">
        <v>35</v>
      </c>
      <c r="C37" s="6" t="s">
        <v>36</v>
      </c>
      <c r="D37" s="6" t="s">
        <v>84</v>
      </c>
      <c r="E37" s="7" t="s">
        <v>85</v>
      </c>
      <c r="F37" s="7" t="n">
        <v>5</v>
      </c>
      <c r="G37" s="6" t="s">
        <v>134</v>
      </c>
      <c r="H37" s="6" t="s">
        <v>200</v>
      </c>
      <c r="I37" s="8" t="s">
        <v>201</v>
      </c>
      <c r="J37" s="8" t="n">
        <f aca="false">COUNTIFS($B:$B,B37,$F:$F,"&gt;"&amp;F37)+1</f>
        <v>1</v>
      </c>
      <c r="K37" s="8" t="n">
        <f aca="false">COUNTIF(Papers!$E:$E,A37)</f>
        <v>2</v>
      </c>
    </row>
    <row r="38" customFormat="false" ht="15" hidden="false" customHeight="false" outlineLevel="0" collapsed="false">
      <c r="A38" s="6" t="s">
        <v>202</v>
      </c>
      <c r="B38" s="6" t="s">
        <v>35</v>
      </c>
      <c r="C38" s="6" t="s">
        <v>36</v>
      </c>
      <c r="D38" s="6" t="s">
        <v>203</v>
      </c>
      <c r="E38" s="7" t="s">
        <v>93</v>
      </c>
      <c r="F38" s="7" t="n">
        <v>2</v>
      </c>
      <c r="G38" s="6" t="s">
        <v>134</v>
      </c>
      <c r="H38" s="8"/>
      <c r="I38" s="8" t="s">
        <v>204</v>
      </c>
      <c r="J38" s="8" t="n">
        <f aca="false">COUNTIFS($B:$B,B38,$F:$F,"&gt;"&amp;F38)+1</f>
        <v>2</v>
      </c>
      <c r="K38" s="8" t="n">
        <f aca="false">COUNTIF(Papers!$E:$E,A38)</f>
        <v>1</v>
      </c>
    </row>
    <row r="39" customFormat="false" ht="15" hidden="false" customHeight="false" outlineLevel="0" collapsed="false">
      <c r="A39" s="6" t="s">
        <v>205</v>
      </c>
      <c r="B39" s="6" t="s">
        <v>37</v>
      </c>
      <c r="C39" s="6" t="s">
        <v>30</v>
      </c>
      <c r="D39" s="6" t="s">
        <v>84</v>
      </c>
      <c r="E39" s="7" t="s">
        <v>85</v>
      </c>
      <c r="F39" s="7" t="n">
        <v>5</v>
      </c>
      <c r="G39" s="6" t="s">
        <v>134</v>
      </c>
      <c r="H39" s="6" t="s">
        <v>206</v>
      </c>
      <c r="I39" s="8" t="s">
        <v>207</v>
      </c>
      <c r="J39" s="8" t="n">
        <f aca="false">COUNTIFS($B:$B,B39,$F:$F,"&gt;"&amp;F39)+1</f>
        <v>1</v>
      </c>
      <c r="K39" s="8" t="n">
        <f aca="false">COUNTIF(Papers!$E:$E,A39)</f>
        <v>2</v>
      </c>
    </row>
    <row r="40" customFormat="false" ht="15" hidden="false" customHeight="false" outlineLevel="0" collapsed="false">
      <c r="A40" s="6" t="s">
        <v>208</v>
      </c>
      <c r="B40" s="6" t="s">
        <v>38</v>
      </c>
      <c r="C40" s="6" t="s">
        <v>39</v>
      </c>
      <c r="D40" s="6" t="s">
        <v>209</v>
      </c>
      <c r="E40" s="7" t="s">
        <v>85</v>
      </c>
      <c r="F40" s="7" t="n">
        <v>4</v>
      </c>
      <c r="G40" s="6" t="s">
        <v>134</v>
      </c>
      <c r="H40" s="6" t="s">
        <v>210</v>
      </c>
      <c r="I40" s="8" t="s">
        <v>211</v>
      </c>
      <c r="J40" s="8" t="n">
        <f aca="false">COUNTIFS($B:$B,B40,$F:$F,"&gt;"&amp;F40)+1</f>
        <v>1</v>
      </c>
      <c r="K40" s="8" t="n">
        <f aca="false">COUNTIF(Papers!$E:$E,A40)</f>
        <v>1</v>
      </c>
    </row>
    <row r="41" customFormat="false" ht="15" hidden="false" customHeight="false" outlineLevel="0" collapsed="false">
      <c r="A41" s="6" t="s">
        <v>212</v>
      </c>
      <c r="B41" s="6" t="s">
        <v>40</v>
      </c>
      <c r="C41" s="6" t="s">
        <v>39</v>
      </c>
      <c r="D41" s="6" t="s">
        <v>84</v>
      </c>
      <c r="E41" s="7" t="s">
        <v>85</v>
      </c>
      <c r="F41" s="7" t="n">
        <v>4</v>
      </c>
      <c r="G41" s="6" t="s">
        <v>139</v>
      </c>
      <c r="H41" s="6" t="s">
        <v>213</v>
      </c>
      <c r="I41" s="8" t="s">
        <v>214</v>
      </c>
      <c r="J41" s="8" t="n">
        <f aca="false">COUNTIFS($B:$B,B41,$F:$F,"&gt;"&amp;F41)+1</f>
        <v>1</v>
      </c>
      <c r="K41" s="8" t="n">
        <f aca="false">COUNTIF(Papers!$E:$E,A41)</f>
        <v>1</v>
      </c>
    </row>
    <row r="42" customFormat="false" ht="15" hidden="false" customHeight="false" outlineLevel="0" collapsed="false">
      <c r="A42" s="6" t="s">
        <v>215</v>
      </c>
      <c r="B42" s="6" t="s">
        <v>41</v>
      </c>
      <c r="C42" s="6" t="s">
        <v>39</v>
      </c>
      <c r="D42" s="6" t="s">
        <v>216</v>
      </c>
      <c r="E42" s="7" t="s">
        <v>85</v>
      </c>
      <c r="F42" s="7" t="n">
        <v>4</v>
      </c>
      <c r="G42" s="6" t="s">
        <v>139</v>
      </c>
      <c r="H42" s="6" t="s">
        <v>217</v>
      </c>
      <c r="I42" s="8" t="s">
        <v>218</v>
      </c>
      <c r="J42" s="8" t="n">
        <f aca="false">COUNTIFS($B:$B,B42,$F:$F,"&gt;"&amp;F42)+1</f>
        <v>1</v>
      </c>
      <c r="K42" s="8" t="n">
        <f aca="false">COUNTIF(Papers!$E:$E,A42)</f>
        <v>1</v>
      </c>
    </row>
    <row r="43" customFormat="false" ht="15" hidden="false" customHeight="false" outlineLevel="0" collapsed="false">
      <c r="A43" s="6" t="s">
        <v>219</v>
      </c>
      <c r="B43" s="6" t="s">
        <v>42</v>
      </c>
      <c r="C43" s="6" t="s">
        <v>43</v>
      </c>
      <c r="D43" s="6" t="s">
        <v>220</v>
      </c>
      <c r="E43" s="7" t="s">
        <v>79</v>
      </c>
      <c r="F43" s="7" t="n">
        <v>4</v>
      </c>
      <c r="G43" s="6" t="s">
        <v>134</v>
      </c>
      <c r="H43" s="6" t="s">
        <v>221</v>
      </c>
      <c r="I43" s="8" t="s">
        <v>222</v>
      </c>
      <c r="J43" s="8" t="n">
        <f aca="false">COUNTIFS($B:$B,B43,$F:$F,"&gt;"&amp;F43)+1</f>
        <v>1</v>
      </c>
      <c r="K43" s="8" t="n">
        <f aca="false">COUNTIF(Papers!$E:$E,A43)</f>
        <v>1</v>
      </c>
    </row>
    <row r="44" customFormat="false" ht="15" hidden="false" customHeight="false" outlineLevel="0" collapsed="false">
      <c r="A44" s="6" t="s">
        <v>223</v>
      </c>
      <c r="B44" s="6" t="s">
        <v>44</v>
      </c>
      <c r="C44" s="6" t="s">
        <v>45</v>
      </c>
      <c r="D44" s="6" t="s">
        <v>224</v>
      </c>
      <c r="E44" s="7" t="s">
        <v>79</v>
      </c>
      <c r="F44" s="7" t="n">
        <v>4</v>
      </c>
      <c r="G44" s="6" t="s">
        <v>134</v>
      </c>
      <c r="H44" s="6" t="s">
        <v>225</v>
      </c>
      <c r="I44" s="8" t="s">
        <v>226</v>
      </c>
      <c r="J44" s="8" t="n">
        <f aca="false">COUNTIFS($B:$B,B44,$F:$F,"&gt;"&amp;F44)+1</f>
        <v>1</v>
      </c>
      <c r="K44" s="8" t="n">
        <f aca="false">COUNTIF(Papers!$E:$E,A44)</f>
        <v>0</v>
      </c>
    </row>
    <row r="45" customFormat="false" ht="15" hidden="false" customHeight="false" outlineLevel="0" collapsed="false">
      <c r="A45" s="6" t="s">
        <v>227</v>
      </c>
      <c r="B45" s="6" t="s">
        <v>46</v>
      </c>
      <c r="C45" s="6" t="s">
        <v>47</v>
      </c>
      <c r="D45" s="6" t="s">
        <v>84</v>
      </c>
      <c r="E45" s="7" t="s">
        <v>85</v>
      </c>
      <c r="F45" s="7" t="n">
        <v>4</v>
      </c>
      <c r="G45" s="6" t="s">
        <v>139</v>
      </c>
      <c r="H45" s="6" t="s">
        <v>228</v>
      </c>
      <c r="I45" s="8" t="s">
        <v>229</v>
      </c>
      <c r="J45" s="8" t="n">
        <f aca="false">COUNTIFS($B:$B,B45,$F:$F,"&gt;"&amp;F45)+1</f>
        <v>1</v>
      </c>
      <c r="K45" s="8" t="n">
        <f aca="false">COUNTIF(Papers!$E:$E,A45)</f>
        <v>2</v>
      </c>
    </row>
    <row r="46" customFormat="false" ht="15" hidden="false" customHeight="false" outlineLevel="0" collapsed="false">
      <c r="A46" s="6" t="s">
        <v>230</v>
      </c>
      <c r="B46" s="6" t="s">
        <v>48</v>
      </c>
      <c r="C46" s="6" t="s">
        <v>39</v>
      </c>
      <c r="D46" s="6" t="s">
        <v>231</v>
      </c>
      <c r="E46" s="7" t="s">
        <v>85</v>
      </c>
      <c r="F46" s="7" t="n">
        <v>3</v>
      </c>
      <c r="G46" s="6" t="s">
        <v>139</v>
      </c>
      <c r="H46" s="6" t="s">
        <v>232</v>
      </c>
      <c r="I46" s="8" t="s">
        <v>233</v>
      </c>
      <c r="J46" s="8" t="n">
        <f aca="false">COUNTIFS($B:$B,B46,$F:$F,"&gt;"&amp;F46)+1</f>
        <v>1</v>
      </c>
      <c r="K46" s="8" t="n">
        <f aca="false">COUNTIF(Papers!$E:$E,A46)</f>
        <v>1</v>
      </c>
    </row>
    <row r="47" customFormat="false" ht="15" hidden="false" customHeight="false" outlineLevel="0" collapsed="false">
      <c r="A47" s="6" t="s">
        <v>234</v>
      </c>
      <c r="B47" s="6" t="s">
        <v>49</v>
      </c>
      <c r="C47" s="6" t="s">
        <v>50</v>
      </c>
      <c r="D47" s="6" t="s">
        <v>235</v>
      </c>
      <c r="E47" s="7" t="s">
        <v>93</v>
      </c>
      <c r="F47" s="7" t="n">
        <v>5</v>
      </c>
      <c r="G47" s="6" t="s">
        <v>139</v>
      </c>
      <c r="H47" s="6" t="s">
        <v>236</v>
      </c>
      <c r="I47" s="8" t="s">
        <v>237</v>
      </c>
      <c r="J47" s="8" t="n">
        <f aca="false">COUNTIFS($B:$B,B47,$F:$F,"&gt;"&amp;F47)+1</f>
        <v>1</v>
      </c>
      <c r="K47" s="8" t="n">
        <f aca="false">COUNTIF(Papers!$E:$E,A47)</f>
        <v>1</v>
      </c>
    </row>
    <row r="48" customFormat="false" ht="15" hidden="false" customHeight="false" outlineLevel="0" collapsed="false">
      <c r="A48" s="6" t="s">
        <v>238</v>
      </c>
      <c r="B48" s="6" t="s">
        <v>51</v>
      </c>
      <c r="C48" s="6" t="s">
        <v>30</v>
      </c>
      <c r="D48" s="6" t="s">
        <v>239</v>
      </c>
      <c r="E48" s="7" t="s">
        <v>93</v>
      </c>
      <c r="F48" s="7" t="n">
        <v>4</v>
      </c>
      <c r="G48" s="6" t="s">
        <v>134</v>
      </c>
      <c r="H48" s="6" t="s">
        <v>240</v>
      </c>
      <c r="I48" s="8" t="s">
        <v>241</v>
      </c>
      <c r="J48" s="8" t="n">
        <f aca="false">COUNTIFS($B:$B,B48,$F:$F,"&gt;"&amp;F48)+1</f>
        <v>1</v>
      </c>
      <c r="K48" s="8" t="n">
        <f aca="false">COUNTIF(Papers!$E:$E,A48)</f>
        <v>3</v>
      </c>
    </row>
    <row r="49" customFormat="false" ht="15" hidden="false" customHeight="false" outlineLevel="0" collapsed="false">
      <c r="A49" s="6" t="s">
        <v>242</v>
      </c>
      <c r="B49" s="6" t="s">
        <v>52</v>
      </c>
      <c r="C49" s="6" t="s">
        <v>53</v>
      </c>
      <c r="D49" s="6" t="s">
        <v>84</v>
      </c>
      <c r="E49" s="7" t="s">
        <v>85</v>
      </c>
      <c r="F49" s="7" t="n">
        <v>2</v>
      </c>
      <c r="G49" s="6" t="s">
        <v>139</v>
      </c>
      <c r="H49" s="6" t="s">
        <v>243</v>
      </c>
      <c r="I49" s="8" t="s">
        <v>244</v>
      </c>
      <c r="J49" s="8" t="n">
        <f aca="false">COUNTIFS($B:$B,B49,$F:$F,"&gt;"&amp;F49)+1</f>
        <v>1</v>
      </c>
      <c r="K49" s="8" t="n">
        <f aca="false">COUNTIF(Papers!$E:$E,A49)</f>
        <v>1</v>
      </c>
    </row>
    <row r="50" customFormat="false" ht="15" hidden="false" customHeight="false" outlineLevel="0" collapsed="false">
      <c r="A50" s="6" t="s">
        <v>245</v>
      </c>
      <c r="B50" s="6" t="s">
        <v>54</v>
      </c>
      <c r="C50" s="6" t="s">
        <v>39</v>
      </c>
      <c r="D50" s="6" t="s">
        <v>246</v>
      </c>
      <c r="E50" s="7" t="s">
        <v>93</v>
      </c>
      <c r="F50" s="7" t="n">
        <v>3</v>
      </c>
      <c r="G50" s="6" t="s">
        <v>134</v>
      </c>
      <c r="H50" s="6" t="s">
        <v>247</v>
      </c>
      <c r="I50" s="8" t="s">
        <v>248</v>
      </c>
      <c r="J50" s="8" t="n">
        <f aca="false">COUNTIFS($B:$B,B50,$F:$F,"&gt;"&amp;F50)+1</f>
        <v>1</v>
      </c>
      <c r="K50" s="8" t="n">
        <f aca="false">COUNTIF(Papers!$E:$E,A50)</f>
        <v>1</v>
      </c>
    </row>
    <row r="51" customFormat="false" ht="15" hidden="false" customHeight="false" outlineLevel="0" collapsed="false">
      <c r="A51" s="6" t="s">
        <v>249</v>
      </c>
      <c r="B51" s="6" t="s">
        <v>55</v>
      </c>
      <c r="C51" s="6" t="s">
        <v>39</v>
      </c>
      <c r="D51" s="6" t="s">
        <v>250</v>
      </c>
      <c r="E51" s="7" t="s">
        <v>93</v>
      </c>
      <c r="F51" s="7" t="n">
        <v>3</v>
      </c>
      <c r="G51" s="6" t="s">
        <v>139</v>
      </c>
      <c r="H51" s="6" t="s">
        <v>251</v>
      </c>
      <c r="I51" s="8" t="s">
        <v>252</v>
      </c>
      <c r="J51" s="8" t="n">
        <f aca="false">COUNTIFS($B:$B,B51,$F:$F,"&gt;"&amp;F51)+1</f>
        <v>1</v>
      </c>
      <c r="K51" s="8" t="n">
        <f aca="false">COUNTIF(Papers!$E:$E,A51)</f>
        <v>0</v>
      </c>
    </row>
    <row r="52" customFormat="false" ht="15" hidden="false" customHeight="false" outlineLevel="0" collapsed="false">
      <c r="A52" s="6" t="s">
        <v>253</v>
      </c>
      <c r="B52" s="6" t="s">
        <v>56</v>
      </c>
      <c r="C52" s="6" t="s">
        <v>50</v>
      </c>
      <c r="D52" s="6" t="s">
        <v>254</v>
      </c>
      <c r="E52" s="7" t="s">
        <v>93</v>
      </c>
      <c r="F52" s="7" t="n">
        <v>3</v>
      </c>
      <c r="G52" s="6" t="s">
        <v>139</v>
      </c>
      <c r="H52" s="6" t="s">
        <v>255</v>
      </c>
      <c r="I52" s="8" t="s">
        <v>256</v>
      </c>
      <c r="J52" s="8" t="n">
        <f aca="false">COUNTIFS($B:$B,B52,$F:$F,"&gt;"&amp;F52)+1</f>
        <v>1</v>
      </c>
      <c r="K52" s="8" t="n">
        <f aca="false">COUNTIF(Papers!$E:$E,A52)</f>
        <v>1</v>
      </c>
    </row>
    <row r="53" customFormat="false" ht="15" hidden="false" customHeight="false" outlineLevel="0" collapsed="false">
      <c r="A53" s="6" t="s">
        <v>257</v>
      </c>
      <c r="B53" s="6" t="s">
        <v>57</v>
      </c>
      <c r="C53" s="6" t="s">
        <v>58</v>
      </c>
      <c r="D53" s="6" t="s">
        <v>92</v>
      </c>
      <c r="E53" s="7" t="s">
        <v>93</v>
      </c>
      <c r="F53" s="7" t="n">
        <v>3</v>
      </c>
      <c r="G53" s="6" t="s">
        <v>139</v>
      </c>
      <c r="H53" s="6" t="s">
        <v>258</v>
      </c>
      <c r="I53" s="8" t="s">
        <v>259</v>
      </c>
      <c r="J53" s="8" t="n">
        <f aca="false">COUNTIFS($B:$B,B53,$F:$F,"&gt;"&amp;F53)+1</f>
        <v>1</v>
      </c>
      <c r="K53" s="8" t="n">
        <f aca="false">COUNTIF(Papers!$E:$E,A53)</f>
        <v>1</v>
      </c>
    </row>
    <row r="54" customFormat="false" ht="15" hidden="false" customHeight="false" outlineLevel="0" collapsed="false">
      <c r="A54" s="6" t="s">
        <v>260</v>
      </c>
      <c r="B54" s="6" t="s">
        <v>59</v>
      </c>
      <c r="C54" s="6" t="s">
        <v>60</v>
      </c>
      <c r="D54" s="6" t="s">
        <v>261</v>
      </c>
      <c r="E54" s="7" t="s">
        <v>93</v>
      </c>
      <c r="F54" s="7" t="n">
        <v>3</v>
      </c>
      <c r="G54" s="6" t="s">
        <v>134</v>
      </c>
      <c r="H54" s="8"/>
      <c r="I54" s="8" t="s">
        <v>262</v>
      </c>
      <c r="J54" s="8" t="n">
        <f aca="false">COUNTIFS($B:$B,B54,$F:$F,"&gt;"&amp;F54)+1</f>
        <v>1</v>
      </c>
      <c r="K54" s="8" t="n">
        <f aca="false">COUNTIF(Papers!$E:$E,A54)</f>
        <v>1</v>
      </c>
    </row>
    <row r="55" customFormat="false" ht="15" hidden="false" customHeight="false" outlineLevel="0" collapsed="false">
      <c r="A55" s="6" t="s">
        <v>263</v>
      </c>
      <c r="B55" s="6" t="s">
        <v>61</v>
      </c>
      <c r="C55" s="6" t="s">
        <v>62</v>
      </c>
      <c r="D55" s="6" t="s">
        <v>264</v>
      </c>
      <c r="E55" s="7" t="s">
        <v>93</v>
      </c>
      <c r="F55" s="7" t="n">
        <v>2</v>
      </c>
      <c r="G55" s="6" t="s">
        <v>139</v>
      </c>
      <c r="H55" s="6" t="s">
        <v>265</v>
      </c>
      <c r="I55" s="8" t="s">
        <v>266</v>
      </c>
      <c r="J55" s="8" t="n">
        <f aca="false">COUNTIFS($B:$B,B55,$F:$F,"&gt;"&amp;F55)+1</f>
        <v>1</v>
      </c>
      <c r="K55" s="8" t="n">
        <f aca="false">COUNTIF(Papers!$E:$E,A55)</f>
        <v>1</v>
      </c>
    </row>
    <row r="56" customFormat="false" ht="15" hidden="false" customHeight="false" outlineLevel="0" collapsed="false">
      <c r="A56" s="6" t="s">
        <v>267</v>
      </c>
      <c r="B56" s="6" t="s">
        <v>63</v>
      </c>
      <c r="C56" s="6" t="s">
        <v>64</v>
      </c>
      <c r="D56" s="6" t="s">
        <v>235</v>
      </c>
      <c r="E56" s="7" t="s">
        <v>93</v>
      </c>
      <c r="F56" s="7" t="n">
        <v>2</v>
      </c>
      <c r="G56" s="6" t="s">
        <v>134</v>
      </c>
      <c r="H56" s="8"/>
      <c r="I56" s="8" t="s">
        <v>268</v>
      </c>
      <c r="J56" s="8" t="n">
        <f aca="false">COUNTIFS($B:$B,B56,$F:$F,"&gt;"&amp;F56)+1</f>
        <v>1</v>
      </c>
      <c r="K56" s="8" t="n">
        <f aca="false">COUNTIF(Papers!$E:$E,A56)</f>
        <v>1</v>
      </c>
    </row>
    <row r="57" customFormat="false" ht="15" hidden="false" customHeight="false" outlineLevel="0" collapsed="false">
      <c r="A57" s="6" t="s">
        <v>269</v>
      </c>
      <c r="B57" s="6" t="s">
        <v>65</v>
      </c>
      <c r="C57" s="6" t="s">
        <v>66</v>
      </c>
      <c r="D57" s="6" t="s">
        <v>235</v>
      </c>
      <c r="E57" s="7" t="s">
        <v>93</v>
      </c>
      <c r="F57" s="7" t="n">
        <v>2</v>
      </c>
      <c r="G57" s="6" t="s">
        <v>134</v>
      </c>
      <c r="H57" s="6" t="s">
        <v>270</v>
      </c>
      <c r="I57" s="8" t="s">
        <v>271</v>
      </c>
      <c r="J57" s="8" t="n">
        <f aca="false">COUNTIFS($B:$B,B57,$F:$F,"&gt;"&amp;F57)+1</f>
        <v>1</v>
      </c>
      <c r="K57" s="8" t="n">
        <f aca="false">COUNTIF(Papers!$E:$E,A57)</f>
        <v>1</v>
      </c>
    </row>
    <row r="58" customFormat="false" ht="15" hidden="false" customHeight="false" outlineLevel="0" collapsed="false">
      <c r="A58" s="6" t="s">
        <v>272</v>
      </c>
      <c r="B58" s="6" t="s">
        <v>67</v>
      </c>
      <c r="C58" s="6" t="s">
        <v>68</v>
      </c>
      <c r="D58" s="6" t="s">
        <v>273</v>
      </c>
      <c r="E58" s="7" t="s">
        <v>93</v>
      </c>
      <c r="F58" s="7" t="n">
        <v>2</v>
      </c>
      <c r="G58" s="6" t="s">
        <v>134</v>
      </c>
      <c r="H58" s="8"/>
      <c r="I58" s="8" t="s">
        <v>274</v>
      </c>
      <c r="J58" s="8" t="n">
        <f aca="false">COUNTIFS($B:$B,B58,$F:$F,"&gt;"&amp;F58)+1</f>
        <v>1</v>
      </c>
      <c r="K58" s="8" t="n">
        <f aca="false">COUNTIF(Papers!$E:$E,A58)</f>
        <v>2</v>
      </c>
    </row>
    <row r="59" customFormat="false" ht="15" hidden="false" customHeight="false" outlineLevel="0" collapsed="false">
      <c r="A59" s="6" t="s">
        <v>275</v>
      </c>
      <c r="B59" s="6" t="s">
        <v>69</v>
      </c>
      <c r="C59" s="6" t="s">
        <v>68</v>
      </c>
      <c r="D59" s="6" t="s">
        <v>111</v>
      </c>
      <c r="E59" s="7" t="s">
        <v>93</v>
      </c>
      <c r="F59" s="7" t="n">
        <v>2</v>
      </c>
      <c r="G59" s="6" t="s">
        <v>134</v>
      </c>
      <c r="H59" s="8"/>
      <c r="I59" s="8" t="s">
        <v>276</v>
      </c>
      <c r="J59" s="8" t="n">
        <f aca="false">COUNTIFS($B:$B,B59,$F:$F,"&gt;"&amp;F59)+1</f>
        <v>1</v>
      </c>
      <c r="K59" s="8" t="n">
        <f aca="false">COUNTIF(Papers!$E:$E,A59)</f>
        <v>1</v>
      </c>
    </row>
    <row r="60" customFormat="false" ht="15" hidden="false" customHeight="false" outlineLevel="0" collapsed="false">
      <c r="A60" s="6" t="s">
        <v>277</v>
      </c>
      <c r="B60" s="6" t="s">
        <v>70</v>
      </c>
      <c r="C60" s="6" t="s">
        <v>50</v>
      </c>
      <c r="D60" s="6" t="s">
        <v>278</v>
      </c>
      <c r="E60" s="7" t="s">
        <v>93</v>
      </c>
      <c r="F60" s="7" t="n">
        <v>1</v>
      </c>
      <c r="G60" s="6" t="s">
        <v>134</v>
      </c>
      <c r="H60" s="6" t="s">
        <v>279</v>
      </c>
      <c r="I60" s="8" t="s">
        <v>280</v>
      </c>
      <c r="J60" s="8" t="n">
        <f aca="false">COUNTIFS($B:$B,B60,$F:$F,"&gt;"&amp;F60)+1</f>
        <v>1</v>
      </c>
      <c r="K60" s="8" t="n">
        <f aca="false">COUNTIF(Papers!$E:$E,A60)</f>
        <v>1</v>
      </c>
    </row>
  </sheetData>
  <hyperlinks>
    <hyperlink ref="I2" r:id="rId1" display="https://profiles.arizona.edu/person/dalziel"/>
    <hyperlink ref="I3" r:id="rId2" display="https://leroylab.arizona.edu/publications.html"/>
    <hyperlink ref="I4" r:id="rId3" display="https://physics.arizona.edu/people/john-schaibley"/>
    <hyperlink ref="I5" r:id="rId4" display="https://mse.engineering.arizona.edu/faculty-staff"/>
    <hyperlink ref="I6" r:id="rId5" display="https://stafford.physics.arizona.edu/publications.html"/>
    <hyperlink ref="I7" r:id="rId6" display="https://zafermutlu.arizona.edu/publications"/>
    <hyperlink ref="I8" r:id="rId7" display="https://profiles.arizona.edu/person/briankim"/>
    <hyperlink ref="I9" r:id="rId8" display="https://sites.google.com/view/kong-lab/publications"/>
    <hyperlink ref="I10" r:id="rId9" display="https://bredators.arizona.edu/publications"/>
    <hyperlink ref="I11" r:id="rId10" display="https://physics.arizona.edu/people/sumit-mazumdar"/>
    <hyperlink ref="I12" r:id="rId11" display="https://sites.arizona.edu/mohammedhassan/publications/"/>
    <hyperlink ref="I13" r:id="rId12" display="https://ngolubev.com/publications/"/>
    <hyperlink ref="I14" r:id="rId13" display="https://physics.arizona.edu/"/>
    <hyperlink ref="I15" r:id="rId14" display="https://mse.engineering.arizona.edu/faculty-staff"/>
    <hyperlink ref="I16" r:id="rId15" display="https://profiles.arizona.edu/person/qinghao"/>
    <hyperlink ref="I17" r:id="rId16" display="https://quantummaterials.utk.edu/affiliates/affiliates-alan-tennant/"/>
    <hyperlink ref="I18" r:id="rId17" display="https://physics.utk.edu/people/instructional-faculty/del-maestro-adrian/"/>
    <hyperlink ref="I19" r:id="rId18" display="https://physics.utk.edu/people/instructional-faculty/zhang-yang/"/>
    <hyperlink ref="I20" r:id="rId19" display="https://physics.utk.edu/people/instructional-faculty/batista-cristian-d/"/>
    <hyperlink ref="I21" r:id="rId20" display="https://physics.utk.edu/"/>
    <hyperlink ref="I22" r:id="rId21" display="https://tickle.utk.edu/mse/faculty/sergei-kalinin/"/>
    <hyperlink ref="I23" r:id="rId22" display="https://bredesencenter.utk.edu/faculty/arpan-biswas/"/>
    <hyperlink ref="I24" r:id="rId23" display="https://nse.mit.edu/people/mingda-li/"/>
    <hyperlink ref="I25" r:id="rId24" display="https://www.eecs.mit.edu/people/tess-smidt/"/>
    <hyperlink ref="I26" r:id="rId25" display="https://physics.mit.edu/faculty/liang-fu/"/>
    <hyperlink ref="I27" r:id="rId26" display="https://physics.mit.edu/faculty/marin-soljacic/"/>
    <hyperlink ref="I28" r:id="rId27" display="https://physics.mit.edu/faculty/joseph-checkelsky/"/>
    <hyperlink ref="I29" r:id="rId28" display="https://mrl.mit.edu/PIs/Rafael-Gomez-Bombarelli"/>
    <hyperlink ref="I30" r:id="rId29" display="https://dmse.mit.edu/people/faculty/jeffrey-grossman/"/>
    <hyperlink ref="I31" r:id="rId30" display="https://phys.ufl.edu/people/faculty/chunjing-jia/"/>
    <hyperlink ref="I32" r:id="rId31" display="https://mse.ufl.edu/people/faculty/name/richard-hennig/"/>
    <hyperlink ref="I33" r:id="rId32" display="https://phys.ufl.edu/"/>
    <hyperlink ref="I34" r:id="rId33" display="https://physics.illinois.edu/people/directory/profile/bkclark"/>
    <hyperlink ref="I35" r:id="rId34" display="https://physics.illinois.edu/people/directory/profile/lkwagner"/>
    <hyperlink ref="I36" r:id="rId35" display="https://mechse.illinois.edu/people/profile/ertekin"/>
    <hyperlink ref="I37" r:id="rId36" display="https://physics.cornell.edu/eun-ah-kim"/>
    <hyperlink ref="I38" r:id="rId37" display="https://www.cs.cornell.edu/people/carla-gomes"/>
    <hyperlink ref="I39" r:id="rId38" display="https://cos.northeastern.edu/wp-content/uploads/2024/12/CV_Qimin_Yan.pdf"/>
    <hyperlink ref="I40" r:id="rId39" display="https://www.aphms.caltech.edu/people/bmarco"/>
    <hyperlink ref="I41" r:id="rId40" display="https://everettyou.github.io/people/YZYou"/>
    <hyperlink ref="I42" r:id="rId41" display="https://physics.ucdavis.edu/directory/faculty/richard-scalettar"/>
    <hyperlink ref="I43" r:id="rId42" display="https://fds.duke.edu/db/aas/Physics/researchers/olivier.delaire"/>
    <hyperlink ref="I44" r:id="rId43" display="https://www.emory.edu/"/>
    <hyperlink ref="I45" r:id="rId44" display="https://www.phys.virginia.edu/People/personal.asp?UID=gc6u"/>
    <hyperlink ref="I46" r:id="rId45" display="https://ps.uci.edu/fprofile/kieron-burke/"/>
    <hyperlink ref="I47" r:id="rId46" display="https://www.me.utexas.edu/people/faculty-directory/zchen"/>
    <hyperlink ref="I48" r:id="rId47" display="https://mir.g.harvard.edu/people/boris-kozinsky"/>
    <hyperlink ref="I49" r:id="rId48" display="https://lsa.umich.edu/physics/people/faculty/egull.html"/>
    <hyperlink ref="I50" r:id="rId49" display="https://chenwli.com/"/>
    <hyperlink ref="I51" r:id="rId50" display="https://diluo28.github.io/diluo.github.io/"/>
    <hyperlink ref="I52" r:id="rId51" display="https://www.chee.uh.edu/faculty/wen-mingjian"/>
    <hyperlink ref="I53" r:id="rId52" display="https://engineering.wisc.edu/directory/profile/dane-morgan"/>
    <hyperlink ref="I54" r:id="rId53" display="https://engineering.jhu.edu/materials/faculty/kamal-choudhary/"/>
    <hyperlink ref="I55" r:id="rId54" display="https://cse.umn.edu/aem/ellad-b-tadmor"/>
    <hyperlink ref="I56" r:id="rId55" display="https://engineering.purdue.edu/ME/People/ptProfile?resource_id=29343"/>
    <hyperlink ref="I57" r:id="rId56" display="https://sc.edu/study/colleges_schools/engineering_and_computing/faculty-staff/minghu.php"/>
    <hyperlink ref="I58" r:id="rId57" display="https://www.pdx.edu/profile/yi-xia"/>
    <hyperlink ref="I59" r:id="rId58" display="https://chemistry.uoregon.edu/profile/agne/"/>
    <hyperlink ref="I60" r:id="rId59" display="https://engineering.tamu.edu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6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7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6" min="5" style="0" width="24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15" hidden="false" customHeight="false" outlineLevel="0" collapsed="false">
      <c r="A1" s="5" t="s">
        <v>281</v>
      </c>
      <c r="B1" s="5" t="s">
        <v>282</v>
      </c>
      <c r="C1" s="5" t="s">
        <v>283</v>
      </c>
      <c r="D1" s="5" t="s">
        <v>284</v>
      </c>
      <c r="E1" s="5" t="s">
        <v>285</v>
      </c>
      <c r="F1" s="5" t="s">
        <v>17</v>
      </c>
      <c r="G1" s="5" t="s">
        <v>286</v>
      </c>
      <c r="H1" s="5" t="s">
        <v>287</v>
      </c>
    </row>
    <row r="2" customFormat="false" ht="15" hidden="false" customHeight="false" outlineLevel="0" collapsed="false">
      <c r="A2" s="6" t="s">
        <v>288</v>
      </c>
      <c r="B2" s="6" t="s">
        <v>289</v>
      </c>
      <c r="C2" s="6" t="s">
        <v>290</v>
      </c>
      <c r="D2" s="8" t="s">
        <v>291</v>
      </c>
      <c r="E2" s="6" t="s">
        <v>159</v>
      </c>
      <c r="F2" s="8" t="str">
        <f aca="false">INDEX(Faculty!$B:$B,MATCH(E2,Faculty!$A:$A,0))</f>
        <v>MIT</v>
      </c>
      <c r="G2" s="6" t="s">
        <v>292</v>
      </c>
      <c r="H2" s="6" t="s">
        <v>293</v>
      </c>
    </row>
    <row r="3" customFormat="false" ht="15" hidden="false" customHeight="false" outlineLevel="0" collapsed="false">
      <c r="A3" s="6" t="s">
        <v>294</v>
      </c>
      <c r="B3" s="6" t="s">
        <v>295</v>
      </c>
      <c r="C3" s="6" t="s">
        <v>296</v>
      </c>
      <c r="D3" s="8" t="s">
        <v>297</v>
      </c>
      <c r="E3" s="6" t="s">
        <v>159</v>
      </c>
      <c r="F3" s="8" t="str">
        <f aca="false">INDEX(Faculty!$B:$B,MATCH(E3,Faculty!$A:$A,0))</f>
        <v>MIT</v>
      </c>
      <c r="G3" s="6" t="s">
        <v>292</v>
      </c>
      <c r="H3" s="6" t="s">
        <v>298</v>
      </c>
    </row>
    <row r="4" customFormat="false" ht="15" hidden="false" customHeight="false" outlineLevel="0" collapsed="false">
      <c r="A4" s="6" t="s">
        <v>299</v>
      </c>
      <c r="B4" s="6" t="s">
        <v>300</v>
      </c>
      <c r="C4" s="6" t="s">
        <v>301</v>
      </c>
      <c r="D4" s="8" t="s">
        <v>302</v>
      </c>
      <c r="E4" s="6" t="s">
        <v>159</v>
      </c>
      <c r="F4" s="8" t="str">
        <f aca="false">INDEX(Faculty!$B:$B,MATCH(E4,Faculty!$A:$A,0))</f>
        <v>MIT</v>
      </c>
      <c r="G4" s="6" t="s">
        <v>303</v>
      </c>
      <c r="H4" s="8"/>
    </row>
    <row r="5" customFormat="false" ht="15" hidden="false" customHeight="false" outlineLevel="0" collapsed="false">
      <c r="A5" s="6" t="s">
        <v>304</v>
      </c>
      <c r="B5" s="6" t="s">
        <v>300</v>
      </c>
      <c r="C5" s="6" t="s">
        <v>305</v>
      </c>
      <c r="D5" s="8" t="s">
        <v>306</v>
      </c>
      <c r="E5" s="6" t="s">
        <v>159</v>
      </c>
      <c r="F5" s="8" t="str">
        <f aca="false">INDEX(Faculty!$B:$B,MATCH(E5,Faculty!$A:$A,0))</f>
        <v>MIT</v>
      </c>
      <c r="G5" s="6" t="s">
        <v>307</v>
      </c>
      <c r="H5" s="8"/>
    </row>
    <row r="6" customFormat="false" ht="15" hidden="false" customHeight="false" outlineLevel="0" collapsed="false">
      <c r="A6" s="6" t="s">
        <v>308</v>
      </c>
      <c r="B6" s="6" t="s">
        <v>309</v>
      </c>
      <c r="C6" s="6" t="s">
        <v>310</v>
      </c>
      <c r="D6" s="8" t="s">
        <v>311</v>
      </c>
      <c r="E6" s="6" t="s">
        <v>159</v>
      </c>
      <c r="F6" s="8" t="str">
        <f aca="false">INDEX(Faculty!$B:$B,MATCH(E6,Faculty!$A:$A,0))</f>
        <v>MIT</v>
      </c>
      <c r="G6" s="6" t="s">
        <v>312</v>
      </c>
      <c r="H6" s="8"/>
    </row>
    <row r="7" customFormat="false" ht="15" hidden="false" customHeight="false" outlineLevel="0" collapsed="false">
      <c r="A7" s="6" t="s">
        <v>313</v>
      </c>
      <c r="B7" s="6" t="s">
        <v>300</v>
      </c>
      <c r="C7" s="6" t="s">
        <v>314</v>
      </c>
      <c r="D7" s="8" t="s">
        <v>315</v>
      </c>
      <c r="E7" s="6" t="s">
        <v>159</v>
      </c>
      <c r="F7" s="8" t="str">
        <f aca="false">INDEX(Faculty!$B:$B,MATCH(E7,Faculty!$A:$A,0))</f>
        <v>MIT</v>
      </c>
      <c r="G7" s="6" t="s">
        <v>316</v>
      </c>
      <c r="H7" s="8"/>
    </row>
    <row r="8" customFormat="false" ht="15" hidden="false" customHeight="false" outlineLevel="0" collapsed="false">
      <c r="A8" s="6" t="s">
        <v>317</v>
      </c>
      <c r="B8" s="6" t="s">
        <v>318</v>
      </c>
      <c r="C8" s="6" t="s">
        <v>310</v>
      </c>
      <c r="D8" s="8" t="s">
        <v>319</v>
      </c>
      <c r="E8" s="6" t="s">
        <v>159</v>
      </c>
      <c r="F8" s="8" t="str">
        <f aca="false">INDEX(Faculty!$B:$B,MATCH(E8,Faculty!$A:$A,0))</f>
        <v>MIT</v>
      </c>
      <c r="G8" s="6" t="s">
        <v>303</v>
      </c>
      <c r="H8" s="8"/>
    </row>
    <row r="9" customFormat="false" ht="15" hidden="false" customHeight="false" outlineLevel="0" collapsed="false">
      <c r="A9" s="6" t="s">
        <v>320</v>
      </c>
      <c r="B9" s="6" t="s">
        <v>318</v>
      </c>
      <c r="C9" s="6" t="s">
        <v>321</v>
      </c>
      <c r="D9" s="8" t="s">
        <v>322</v>
      </c>
      <c r="E9" s="6" t="s">
        <v>159</v>
      </c>
      <c r="F9" s="8" t="str">
        <f aca="false">INDEX(Faculty!$B:$B,MATCH(E9,Faculty!$A:$A,0))</f>
        <v>MIT</v>
      </c>
      <c r="G9" s="6" t="s">
        <v>312</v>
      </c>
      <c r="H9" s="6" t="s">
        <v>323</v>
      </c>
    </row>
    <row r="10" customFormat="false" ht="15" hidden="false" customHeight="false" outlineLevel="0" collapsed="false">
      <c r="A10" s="6" t="s">
        <v>324</v>
      </c>
      <c r="B10" s="6" t="s">
        <v>289</v>
      </c>
      <c r="C10" s="6" t="s">
        <v>325</v>
      </c>
      <c r="D10" s="8" t="s">
        <v>326</v>
      </c>
      <c r="E10" s="6" t="s">
        <v>159</v>
      </c>
      <c r="F10" s="8" t="str">
        <f aca="false">INDEX(Faculty!$B:$B,MATCH(E10,Faculty!$A:$A,0))</f>
        <v>MIT</v>
      </c>
      <c r="G10" s="6" t="s">
        <v>303</v>
      </c>
      <c r="H10" s="8"/>
    </row>
    <row r="11" customFormat="false" ht="15" hidden="false" customHeight="false" outlineLevel="0" collapsed="false">
      <c r="A11" s="6" t="s">
        <v>327</v>
      </c>
      <c r="B11" s="6" t="s">
        <v>318</v>
      </c>
      <c r="C11" s="6" t="s">
        <v>328</v>
      </c>
      <c r="D11" s="8" t="s">
        <v>329</v>
      </c>
      <c r="E11" s="6" t="s">
        <v>159</v>
      </c>
      <c r="F11" s="8" t="str">
        <f aca="false">INDEX(Faculty!$B:$B,MATCH(E11,Faculty!$A:$A,0))</f>
        <v>MIT</v>
      </c>
      <c r="G11" s="6" t="s">
        <v>303</v>
      </c>
      <c r="H11" s="8"/>
    </row>
    <row r="12" customFormat="false" ht="15" hidden="false" customHeight="false" outlineLevel="0" collapsed="false">
      <c r="A12" s="6" t="s">
        <v>330</v>
      </c>
      <c r="B12" s="6" t="s">
        <v>318</v>
      </c>
      <c r="C12" s="6" t="s">
        <v>331</v>
      </c>
      <c r="D12" s="8" t="s">
        <v>332</v>
      </c>
      <c r="E12" s="6" t="s">
        <v>163</v>
      </c>
      <c r="F12" s="8" t="str">
        <f aca="false">INDEX(Faculty!$B:$B,MATCH(E12,Faculty!$A:$A,0))</f>
        <v>MIT</v>
      </c>
      <c r="G12" s="6" t="s">
        <v>312</v>
      </c>
      <c r="H12" s="6" t="s">
        <v>333</v>
      </c>
    </row>
    <row r="13" customFormat="false" ht="15" hidden="false" customHeight="false" outlineLevel="0" collapsed="false">
      <c r="A13" s="6" t="s">
        <v>334</v>
      </c>
      <c r="B13" s="6" t="s">
        <v>309</v>
      </c>
      <c r="C13" s="6" t="s">
        <v>331</v>
      </c>
      <c r="D13" s="8" t="s">
        <v>335</v>
      </c>
      <c r="E13" s="6" t="s">
        <v>163</v>
      </c>
      <c r="F13" s="8" t="str">
        <f aca="false">INDEX(Faculty!$B:$B,MATCH(E13,Faculty!$A:$A,0))</f>
        <v>MIT</v>
      </c>
      <c r="G13" s="6" t="s">
        <v>292</v>
      </c>
      <c r="H13" s="6" t="s">
        <v>336</v>
      </c>
    </row>
    <row r="14" customFormat="false" ht="15" hidden="false" customHeight="false" outlineLevel="0" collapsed="false">
      <c r="A14" s="6" t="s">
        <v>337</v>
      </c>
      <c r="B14" s="6" t="s">
        <v>318</v>
      </c>
      <c r="C14" s="6" t="s">
        <v>338</v>
      </c>
      <c r="D14" s="8" t="s">
        <v>339</v>
      </c>
      <c r="E14" s="6" t="s">
        <v>238</v>
      </c>
      <c r="F14" s="8" t="str">
        <f aca="false">INDEX(Faculty!$B:$B,MATCH(E14,Faculty!$A:$A,0))</f>
        <v>Harvard</v>
      </c>
      <c r="G14" s="6" t="s">
        <v>312</v>
      </c>
      <c r="H14" s="8"/>
    </row>
    <row r="15" customFormat="false" ht="15" hidden="false" customHeight="false" outlineLevel="0" collapsed="false">
      <c r="A15" s="6" t="s">
        <v>340</v>
      </c>
      <c r="B15" s="6" t="s">
        <v>295</v>
      </c>
      <c r="C15" s="6" t="s">
        <v>338</v>
      </c>
      <c r="D15" s="8" t="s">
        <v>341</v>
      </c>
      <c r="E15" s="6" t="s">
        <v>238</v>
      </c>
      <c r="F15" s="8" t="str">
        <f aca="false">INDEX(Faculty!$B:$B,MATCH(E15,Faculty!$A:$A,0))</f>
        <v>Harvard</v>
      </c>
      <c r="G15" s="6" t="s">
        <v>312</v>
      </c>
      <c r="H15" s="8"/>
    </row>
    <row r="16" customFormat="false" ht="15" hidden="false" customHeight="false" outlineLevel="0" collapsed="false">
      <c r="A16" s="6" t="s">
        <v>342</v>
      </c>
      <c r="B16" s="6" t="s">
        <v>295</v>
      </c>
      <c r="C16" s="6" t="s">
        <v>343</v>
      </c>
      <c r="D16" s="8" t="s">
        <v>344</v>
      </c>
      <c r="E16" s="6" t="s">
        <v>238</v>
      </c>
      <c r="F16" s="8" t="str">
        <f aca="false">INDEX(Faculty!$B:$B,MATCH(E16,Faculty!$A:$A,0))</f>
        <v>Harvard</v>
      </c>
      <c r="G16" s="6" t="s">
        <v>307</v>
      </c>
      <c r="H16" s="6" t="s">
        <v>345</v>
      </c>
    </row>
    <row r="17" customFormat="false" ht="15" hidden="false" customHeight="false" outlineLevel="0" collapsed="false">
      <c r="A17" s="6" t="s">
        <v>346</v>
      </c>
      <c r="B17" s="6" t="s">
        <v>300</v>
      </c>
      <c r="C17" s="6" t="s">
        <v>338</v>
      </c>
      <c r="D17" s="8" t="s">
        <v>347</v>
      </c>
      <c r="E17" s="6" t="s">
        <v>205</v>
      </c>
      <c r="F17" s="8" t="str">
        <f aca="false">INDEX(Faculty!$B:$B,MATCH(E17,Faculty!$A:$A,0))</f>
        <v>Northeastern</v>
      </c>
      <c r="G17" s="6" t="s">
        <v>312</v>
      </c>
      <c r="H17" s="6" t="s">
        <v>348</v>
      </c>
    </row>
    <row r="18" customFormat="false" ht="15" hidden="false" customHeight="false" outlineLevel="0" collapsed="false">
      <c r="A18" s="6" t="s">
        <v>349</v>
      </c>
      <c r="B18" s="6" t="s">
        <v>300</v>
      </c>
      <c r="C18" s="6" t="s">
        <v>350</v>
      </c>
      <c r="D18" s="8" t="s">
        <v>351</v>
      </c>
      <c r="E18" s="6" t="s">
        <v>205</v>
      </c>
      <c r="F18" s="8" t="str">
        <f aca="false">INDEX(Faculty!$B:$B,MATCH(E18,Faculty!$A:$A,0))</f>
        <v>Northeastern</v>
      </c>
      <c r="G18" s="6" t="s">
        <v>312</v>
      </c>
      <c r="H18" s="6" t="s">
        <v>348</v>
      </c>
    </row>
    <row r="19" customFormat="false" ht="15" hidden="false" customHeight="false" outlineLevel="0" collapsed="false">
      <c r="A19" s="6" t="s">
        <v>352</v>
      </c>
      <c r="B19" s="6" t="s">
        <v>289</v>
      </c>
      <c r="C19" s="6" t="s">
        <v>338</v>
      </c>
      <c r="D19" s="8" t="s">
        <v>353</v>
      </c>
      <c r="E19" s="6" t="s">
        <v>170</v>
      </c>
      <c r="F19" s="8" t="str">
        <f aca="false">INDEX(Faculty!$B:$B,MATCH(E19,Faculty!$A:$A,0))</f>
        <v>MIT</v>
      </c>
      <c r="G19" s="6" t="s">
        <v>316</v>
      </c>
      <c r="H19" s="6" t="s">
        <v>348</v>
      </c>
    </row>
    <row r="20" customFormat="false" ht="15" hidden="false" customHeight="false" outlineLevel="0" collapsed="false">
      <c r="A20" s="6" t="s">
        <v>354</v>
      </c>
      <c r="B20" s="6" t="s">
        <v>300</v>
      </c>
      <c r="C20" s="6" t="s">
        <v>331</v>
      </c>
      <c r="D20" s="8" t="s">
        <v>355</v>
      </c>
      <c r="E20" s="6" t="s">
        <v>170</v>
      </c>
      <c r="F20" s="8" t="str">
        <f aca="false">INDEX(Faculty!$B:$B,MATCH(E20,Faculty!$A:$A,0))</f>
        <v>MIT</v>
      </c>
      <c r="G20" s="6" t="s">
        <v>316</v>
      </c>
      <c r="H20" s="6" t="s">
        <v>348</v>
      </c>
    </row>
    <row r="21" customFormat="false" ht="15" hidden="false" customHeight="false" outlineLevel="0" collapsed="false">
      <c r="A21" s="6" t="s">
        <v>356</v>
      </c>
      <c r="B21" s="6" t="s">
        <v>309</v>
      </c>
      <c r="C21" s="6" t="s">
        <v>343</v>
      </c>
      <c r="D21" s="8" t="s">
        <v>357</v>
      </c>
      <c r="E21" s="6" t="s">
        <v>184</v>
      </c>
      <c r="F21" s="8" t="str">
        <f aca="false">INDEX(Faculty!$B:$B,MATCH(E21,Faculty!$A:$A,0))</f>
        <v>U Florida</v>
      </c>
      <c r="G21" s="6" t="s">
        <v>292</v>
      </c>
      <c r="H21" s="6" t="s">
        <v>358</v>
      </c>
    </row>
    <row r="22" customFormat="false" ht="15" hidden="false" customHeight="false" outlineLevel="0" collapsed="false">
      <c r="A22" s="6" t="s">
        <v>359</v>
      </c>
      <c r="B22" s="6" t="s">
        <v>300</v>
      </c>
      <c r="C22" s="6" t="s">
        <v>343</v>
      </c>
      <c r="D22" s="8" t="s">
        <v>360</v>
      </c>
      <c r="E22" s="6" t="s">
        <v>184</v>
      </c>
      <c r="F22" s="8" t="str">
        <f aca="false">INDEX(Faculty!$B:$B,MATCH(E22,Faculty!$A:$A,0))</f>
        <v>U Florida</v>
      </c>
      <c r="G22" s="6" t="s">
        <v>316</v>
      </c>
      <c r="H22" s="6" t="s">
        <v>348</v>
      </c>
    </row>
    <row r="23" customFormat="false" ht="15" hidden="false" customHeight="false" outlineLevel="0" collapsed="false">
      <c r="A23" s="6" t="s">
        <v>361</v>
      </c>
      <c r="B23" s="6" t="s">
        <v>309</v>
      </c>
      <c r="C23" s="6" t="s">
        <v>362</v>
      </c>
      <c r="D23" s="8" t="s">
        <v>363</v>
      </c>
      <c r="E23" s="6" t="s">
        <v>272</v>
      </c>
      <c r="F23" s="8" t="str">
        <f aca="false">INDEX(Faculty!$B:$B,MATCH(E23,Faculty!$A:$A,0))</f>
        <v>Portland State</v>
      </c>
      <c r="G23" s="6" t="s">
        <v>292</v>
      </c>
      <c r="H23" s="6" t="s">
        <v>348</v>
      </c>
    </row>
    <row r="24" customFormat="false" ht="15" hidden="false" customHeight="false" outlineLevel="0" collapsed="false">
      <c r="A24" s="6" t="s">
        <v>364</v>
      </c>
      <c r="B24" s="6" t="s">
        <v>309</v>
      </c>
      <c r="C24" s="6" t="s">
        <v>365</v>
      </c>
      <c r="D24" s="8" t="s">
        <v>366</v>
      </c>
      <c r="E24" s="6" t="s">
        <v>272</v>
      </c>
      <c r="F24" s="8" t="str">
        <f aca="false">INDEX(Faculty!$B:$B,MATCH(E24,Faculty!$A:$A,0))</f>
        <v>Portland State</v>
      </c>
      <c r="G24" s="6" t="s">
        <v>292</v>
      </c>
      <c r="H24" s="6" t="s">
        <v>348</v>
      </c>
    </row>
    <row r="25" customFormat="false" ht="15" hidden="false" customHeight="false" outlineLevel="0" collapsed="false">
      <c r="A25" s="6" t="s">
        <v>367</v>
      </c>
      <c r="B25" s="6" t="s">
        <v>309</v>
      </c>
      <c r="C25" s="6" t="s">
        <v>365</v>
      </c>
      <c r="D25" s="8" t="s">
        <v>368</v>
      </c>
      <c r="E25" s="6" t="s">
        <v>269</v>
      </c>
      <c r="F25" s="8" t="str">
        <f aca="false">INDEX(Faculty!$B:$B,MATCH(E25,Faculty!$A:$A,0))</f>
        <v>U South Carolina</v>
      </c>
      <c r="G25" s="6" t="s">
        <v>292</v>
      </c>
      <c r="H25" s="6" t="s">
        <v>369</v>
      </c>
    </row>
    <row r="26" customFormat="false" ht="15" hidden="false" customHeight="false" outlineLevel="0" collapsed="false">
      <c r="A26" s="6" t="s">
        <v>370</v>
      </c>
      <c r="B26" s="6" t="s">
        <v>295</v>
      </c>
      <c r="C26" s="6" t="s">
        <v>343</v>
      </c>
      <c r="D26" s="8" t="s">
        <v>371</v>
      </c>
      <c r="E26" s="6" t="s">
        <v>267</v>
      </c>
      <c r="F26" s="8" t="str">
        <f aca="false">INDEX(Faculty!$B:$B,MATCH(E26,Faculty!$A:$A,0))</f>
        <v>Purdue</v>
      </c>
      <c r="G26" s="6" t="s">
        <v>307</v>
      </c>
      <c r="H26" s="8"/>
    </row>
    <row r="27" customFormat="false" ht="15" hidden="false" customHeight="false" outlineLevel="0" collapsed="false">
      <c r="A27" s="6" t="s">
        <v>372</v>
      </c>
      <c r="B27" s="6" t="s">
        <v>309</v>
      </c>
      <c r="C27" s="6" t="s">
        <v>373</v>
      </c>
      <c r="D27" s="8" t="s">
        <v>374</v>
      </c>
      <c r="E27" s="6" t="s">
        <v>245</v>
      </c>
      <c r="F27" s="8" t="str">
        <f aca="false">INDEX(Faculty!$B:$B,MATCH(E27,Faculty!$A:$A,0))</f>
        <v>UC Riverside</v>
      </c>
      <c r="G27" s="6" t="s">
        <v>303</v>
      </c>
      <c r="H27" s="6" t="s">
        <v>375</v>
      </c>
    </row>
    <row r="28" customFormat="false" ht="15" hidden="false" customHeight="false" outlineLevel="0" collapsed="false">
      <c r="A28" s="6" t="s">
        <v>376</v>
      </c>
      <c r="B28" s="6" t="s">
        <v>377</v>
      </c>
      <c r="C28" s="6" t="s">
        <v>378</v>
      </c>
      <c r="D28" s="8" t="s">
        <v>379</v>
      </c>
      <c r="E28" s="6" t="s">
        <v>219</v>
      </c>
      <c r="F28" s="8" t="str">
        <f aca="false">INDEX(Faculty!$B:$B,MATCH(E28,Faculty!$A:$A,0))</f>
        <v>Duke</v>
      </c>
      <c r="G28" s="6" t="s">
        <v>303</v>
      </c>
      <c r="H28" s="8"/>
    </row>
    <row r="29" customFormat="false" ht="15" hidden="false" customHeight="false" outlineLevel="0" collapsed="false">
      <c r="A29" s="6" t="s">
        <v>380</v>
      </c>
      <c r="B29" s="6" t="s">
        <v>377</v>
      </c>
      <c r="C29" s="6" t="s">
        <v>331</v>
      </c>
      <c r="D29" s="8" t="s">
        <v>381</v>
      </c>
      <c r="E29" s="6" t="s">
        <v>260</v>
      </c>
      <c r="F29" s="8" t="str">
        <f aca="false">INDEX(Faculty!$B:$B,MATCH(E29,Faculty!$A:$A,0))</f>
        <v>Johns Hopkins</v>
      </c>
      <c r="G29" s="6" t="s">
        <v>292</v>
      </c>
      <c r="H29" s="6" t="s">
        <v>348</v>
      </c>
    </row>
    <row r="30" customFormat="false" ht="15" hidden="false" customHeight="false" outlineLevel="0" collapsed="false">
      <c r="A30" s="6" t="s">
        <v>382</v>
      </c>
      <c r="B30" s="6" t="s">
        <v>300</v>
      </c>
      <c r="C30" s="6" t="s">
        <v>383</v>
      </c>
      <c r="D30" s="8" t="s">
        <v>384</v>
      </c>
      <c r="E30" s="6" t="s">
        <v>275</v>
      </c>
      <c r="F30" s="8" t="str">
        <f aca="false">INDEX(Faculty!$B:$B,MATCH(E30,Faculty!$A:$A,0))</f>
        <v>U Oregon</v>
      </c>
      <c r="G30" s="6" t="s">
        <v>307</v>
      </c>
      <c r="H30" s="6" t="s">
        <v>348</v>
      </c>
    </row>
    <row r="31" customFormat="false" ht="15" hidden="false" customHeight="false" outlineLevel="0" collapsed="false">
      <c r="A31" s="6" t="s">
        <v>385</v>
      </c>
      <c r="B31" s="6" t="s">
        <v>295</v>
      </c>
      <c r="C31" s="6" t="s">
        <v>331</v>
      </c>
      <c r="D31" s="8" t="s">
        <v>386</v>
      </c>
      <c r="E31" s="6" t="s">
        <v>202</v>
      </c>
      <c r="F31" s="8" t="str">
        <f aca="false">INDEX(Faculty!$B:$B,MATCH(E31,Faculty!$A:$A,0))</f>
        <v>Cornell</v>
      </c>
      <c r="G31" s="6" t="s">
        <v>292</v>
      </c>
      <c r="H31" s="6" t="s">
        <v>348</v>
      </c>
    </row>
    <row r="32" customFormat="false" ht="15" hidden="false" customHeight="false" outlineLevel="0" collapsed="false">
      <c r="A32" s="6" t="s">
        <v>387</v>
      </c>
      <c r="B32" s="6" t="s">
        <v>318</v>
      </c>
      <c r="C32" s="6" t="s">
        <v>388</v>
      </c>
      <c r="D32" s="8" t="s">
        <v>389</v>
      </c>
      <c r="E32" s="6" t="s">
        <v>199</v>
      </c>
      <c r="F32" s="8" t="str">
        <f aca="false">INDEX(Faculty!$B:$B,MATCH(E32,Faculty!$A:$A,0))</f>
        <v>Cornell</v>
      </c>
      <c r="G32" s="6" t="s">
        <v>303</v>
      </c>
      <c r="H32" s="8"/>
    </row>
    <row r="33" customFormat="false" ht="15" hidden="false" customHeight="false" outlineLevel="0" collapsed="false">
      <c r="A33" s="6" t="s">
        <v>390</v>
      </c>
      <c r="B33" s="6" t="s">
        <v>309</v>
      </c>
      <c r="C33" s="6" t="s">
        <v>391</v>
      </c>
      <c r="D33" s="8" t="s">
        <v>392</v>
      </c>
      <c r="E33" s="6" t="s">
        <v>199</v>
      </c>
      <c r="F33" s="8" t="str">
        <f aca="false">INDEX(Faculty!$B:$B,MATCH(E33,Faculty!$A:$A,0))</f>
        <v>Cornell</v>
      </c>
      <c r="G33" s="6" t="s">
        <v>303</v>
      </c>
      <c r="H33" s="8"/>
    </row>
    <row r="34" customFormat="false" ht="15" hidden="false" customHeight="false" outlineLevel="0" collapsed="false">
      <c r="A34" s="6" t="s">
        <v>393</v>
      </c>
      <c r="B34" s="6" t="s">
        <v>318</v>
      </c>
      <c r="C34" s="6" t="s">
        <v>394</v>
      </c>
      <c r="D34" s="8" t="s">
        <v>395</v>
      </c>
      <c r="E34" s="6" t="s">
        <v>132</v>
      </c>
      <c r="F34" s="8" t="str">
        <f aca="false">INDEX(Faculty!$B:$B,MATCH(E34,Faculty!$A:$A,0))</f>
        <v>U Tennessee Knoxville</v>
      </c>
      <c r="G34" s="6" t="s">
        <v>303</v>
      </c>
      <c r="H34" s="6" t="s">
        <v>396</v>
      </c>
    </row>
    <row r="35" customFormat="false" ht="15" hidden="false" customHeight="false" outlineLevel="0" collapsed="false">
      <c r="A35" s="6" t="s">
        <v>397</v>
      </c>
      <c r="B35" s="6" t="s">
        <v>309</v>
      </c>
      <c r="C35" s="6" t="s">
        <v>398</v>
      </c>
      <c r="D35" s="8" t="s">
        <v>399</v>
      </c>
      <c r="E35" s="6" t="s">
        <v>208</v>
      </c>
      <c r="F35" s="8" t="str">
        <f aca="false">INDEX(Faculty!$B:$B,MATCH(E35,Faculty!$A:$A,0))</f>
        <v>Caltech</v>
      </c>
      <c r="G35" s="6" t="s">
        <v>292</v>
      </c>
      <c r="H35" s="8"/>
    </row>
    <row r="36" customFormat="false" ht="15" hidden="false" customHeight="false" outlineLevel="0" collapsed="false">
      <c r="A36" s="6" t="s">
        <v>400</v>
      </c>
      <c r="B36" s="6" t="s">
        <v>309</v>
      </c>
      <c r="C36" s="6" t="s">
        <v>331</v>
      </c>
      <c r="D36" s="8" t="s">
        <v>401</v>
      </c>
      <c r="E36" s="6" t="s">
        <v>176</v>
      </c>
      <c r="F36" s="8" t="str">
        <f aca="false">INDEX(Faculty!$B:$B,MATCH(E36,Faculty!$A:$A,0))</f>
        <v>MIT</v>
      </c>
      <c r="G36" s="6" t="s">
        <v>312</v>
      </c>
      <c r="H36" s="6" t="s">
        <v>348</v>
      </c>
    </row>
    <row r="37" customFormat="false" ht="15" hidden="false" customHeight="false" outlineLevel="0" collapsed="false">
      <c r="A37" s="6" t="s">
        <v>402</v>
      </c>
      <c r="B37" s="6" t="s">
        <v>295</v>
      </c>
      <c r="C37" s="6" t="s">
        <v>403</v>
      </c>
      <c r="D37" s="8" t="s">
        <v>404</v>
      </c>
      <c r="E37" s="6" t="s">
        <v>179</v>
      </c>
      <c r="F37" s="8" t="str">
        <f aca="false">INDEX(Faculty!$B:$B,MATCH(E37,Faculty!$A:$A,0))</f>
        <v>MIT</v>
      </c>
      <c r="G37" s="6" t="s">
        <v>312</v>
      </c>
      <c r="H37" s="6" t="s">
        <v>348</v>
      </c>
    </row>
    <row r="38" customFormat="false" ht="15" hidden="false" customHeight="false" outlineLevel="0" collapsed="false">
      <c r="A38" s="6" t="s">
        <v>405</v>
      </c>
      <c r="B38" s="6" t="s">
        <v>318</v>
      </c>
      <c r="C38" s="6" t="s">
        <v>343</v>
      </c>
      <c r="D38" s="8" t="s">
        <v>406</v>
      </c>
      <c r="E38" s="6" t="s">
        <v>195</v>
      </c>
      <c r="F38" s="8" t="str">
        <f aca="false">INDEX(Faculty!$B:$B,MATCH(E38,Faculty!$A:$A,0))</f>
        <v>UIUC</v>
      </c>
      <c r="G38" s="6" t="s">
        <v>316</v>
      </c>
      <c r="H38" s="8"/>
    </row>
    <row r="39" customFormat="false" ht="15" hidden="false" customHeight="false" outlineLevel="0" collapsed="false">
      <c r="A39" s="6" t="s">
        <v>407</v>
      </c>
      <c r="B39" s="6" t="s">
        <v>318</v>
      </c>
      <c r="C39" s="6" t="s">
        <v>408</v>
      </c>
      <c r="D39" s="8" t="s">
        <v>409</v>
      </c>
      <c r="E39" s="6" t="s">
        <v>277</v>
      </c>
      <c r="F39" s="8" t="str">
        <f aca="false">INDEX(Faculty!$B:$B,MATCH(E39,Faculty!$A:$A,0))</f>
        <v>Texas A&amp;M</v>
      </c>
      <c r="G39" s="6" t="s">
        <v>312</v>
      </c>
      <c r="H39" s="8"/>
    </row>
    <row r="40" customFormat="false" ht="15" hidden="false" customHeight="false" outlineLevel="0" collapsed="false">
      <c r="A40" s="6" t="s">
        <v>410</v>
      </c>
      <c r="B40" s="6" t="s">
        <v>377</v>
      </c>
      <c r="C40" s="6" t="s">
        <v>331</v>
      </c>
      <c r="D40" s="8" t="s">
        <v>411</v>
      </c>
      <c r="E40" s="6" t="s">
        <v>234</v>
      </c>
      <c r="F40" s="8" t="str">
        <f aca="false">INDEX(Faculty!$B:$B,MATCH(E40,Faculty!$A:$A,0))</f>
        <v>UT Austin</v>
      </c>
      <c r="G40" s="6" t="s">
        <v>412</v>
      </c>
      <c r="H40" s="6" t="s">
        <v>413</v>
      </c>
    </row>
    <row r="41" customFormat="false" ht="15" hidden="false" customHeight="false" outlineLevel="0" collapsed="false">
      <c r="A41" s="6" t="s">
        <v>414</v>
      </c>
      <c r="B41" s="6" t="s">
        <v>309</v>
      </c>
      <c r="C41" s="6" t="s">
        <v>415</v>
      </c>
      <c r="D41" s="8" t="s">
        <v>416</v>
      </c>
      <c r="E41" s="6" t="s">
        <v>181</v>
      </c>
      <c r="F41" s="8" t="str">
        <f aca="false">INDEX(Faculty!$B:$B,MATCH(E41,Faculty!$A:$A,0))</f>
        <v>U Florida</v>
      </c>
      <c r="G41" s="6" t="s">
        <v>412</v>
      </c>
      <c r="H41" s="8"/>
    </row>
    <row r="42" customFormat="false" ht="15" hidden="false" customHeight="false" outlineLevel="0" collapsed="false">
      <c r="A42" s="6" t="s">
        <v>417</v>
      </c>
      <c r="B42" s="6" t="s">
        <v>377</v>
      </c>
      <c r="C42" s="6" t="s">
        <v>331</v>
      </c>
      <c r="D42" s="8" t="s">
        <v>418</v>
      </c>
      <c r="E42" s="6" t="s">
        <v>181</v>
      </c>
      <c r="F42" s="8" t="str">
        <f aca="false">INDEX(Faculty!$B:$B,MATCH(E42,Faculty!$A:$A,0))</f>
        <v>U Florida</v>
      </c>
      <c r="G42" s="6" t="s">
        <v>419</v>
      </c>
      <c r="H42" s="8"/>
    </row>
    <row r="43" customFormat="false" ht="15" hidden="false" customHeight="false" outlineLevel="0" collapsed="false">
      <c r="A43" s="6" t="s">
        <v>420</v>
      </c>
      <c r="B43" s="6" t="s">
        <v>377</v>
      </c>
      <c r="C43" s="6" t="s">
        <v>331</v>
      </c>
      <c r="D43" s="8" t="s">
        <v>421</v>
      </c>
      <c r="E43" s="6" t="s">
        <v>137</v>
      </c>
      <c r="F43" s="8" t="str">
        <f aca="false">INDEX(Faculty!$B:$B,MATCH(E43,Faculty!$A:$A,0))</f>
        <v>U Tennessee Knoxville</v>
      </c>
      <c r="G43" s="6" t="s">
        <v>412</v>
      </c>
      <c r="H43" s="8"/>
    </row>
    <row r="44" customFormat="false" ht="15" hidden="false" customHeight="false" outlineLevel="0" collapsed="false">
      <c r="A44" s="6" t="s">
        <v>422</v>
      </c>
      <c r="B44" s="6" t="s">
        <v>377</v>
      </c>
      <c r="C44" s="6" t="s">
        <v>331</v>
      </c>
      <c r="D44" s="8" t="s">
        <v>423</v>
      </c>
      <c r="E44" s="6" t="s">
        <v>142</v>
      </c>
      <c r="F44" s="8" t="str">
        <f aca="false">INDEX(Faculty!$B:$B,MATCH(E44,Faculty!$A:$A,0))</f>
        <v>U Tennessee Knoxville</v>
      </c>
      <c r="G44" s="6" t="s">
        <v>419</v>
      </c>
      <c r="H44" s="8"/>
    </row>
    <row r="45" customFormat="false" ht="15" hidden="false" customHeight="false" outlineLevel="0" collapsed="false">
      <c r="A45" s="6" t="s">
        <v>424</v>
      </c>
      <c r="B45" s="6" t="s">
        <v>377</v>
      </c>
      <c r="C45" s="6" t="s">
        <v>331</v>
      </c>
      <c r="D45" s="8" t="s">
        <v>425</v>
      </c>
      <c r="E45" s="6" t="s">
        <v>146</v>
      </c>
      <c r="F45" s="8" t="str">
        <f aca="false">INDEX(Faculty!$B:$B,MATCH(E45,Faculty!$A:$A,0))</f>
        <v>U Tennessee Knoxville</v>
      </c>
      <c r="G45" s="6" t="s">
        <v>419</v>
      </c>
      <c r="H45" s="8"/>
    </row>
    <row r="46" customFormat="false" ht="15" hidden="false" customHeight="false" outlineLevel="0" collapsed="false">
      <c r="A46" s="6" t="s">
        <v>426</v>
      </c>
      <c r="B46" s="6" t="s">
        <v>377</v>
      </c>
      <c r="C46" s="6" t="s">
        <v>331</v>
      </c>
      <c r="D46" s="8" t="s">
        <v>427</v>
      </c>
      <c r="E46" s="6" t="s">
        <v>155</v>
      </c>
      <c r="F46" s="8" t="str">
        <f aca="false">INDEX(Faculty!$B:$B,MATCH(E46,Faculty!$A:$A,0))</f>
        <v>U Tennessee Knoxville</v>
      </c>
      <c r="G46" s="6" t="s">
        <v>412</v>
      </c>
      <c r="H46" s="8"/>
    </row>
    <row r="47" customFormat="false" ht="15" hidden="false" customHeight="false" outlineLevel="0" collapsed="false">
      <c r="A47" s="6" t="s">
        <v>428</v>
      </c>
      <c r="B47" s="6" t="s">
        <v>300</v>
      </c>
      <c r="C47" s="6" t="s">
        <v>378</v>
      </c>
      <c r="D47" s="8" t="s">
        <v>429</v>
      </c>
      <c r="E47" s="6" t="s">
        <v>152</v>
      </c>
      <c r="F47" s="8" t="str">
        <f aca="false">INDEX(Faculty!$B:$B,MATCH(E47,Faculty!$A:$A,0))</f>
        <v>U Tennessee Knoxville</v>
      </c>
      <c r="G47" s="6" t="s">
        <v>412</v>
      </c>
      <c r="H47" s="8"/>
    </row>
    <row r="48" customFormat="false" ht="15" hidden="false" customHeight="false" outlineLevel="0" collapsed="false">
      <c r="A48" s="6" t="s">
        <v>430</v>
      </c>
      <c r="B48" s="6" t="s">
        <v>377</v>
      </c>
      <c r="C48" s="6" t="s">
        <v>431</v>
      </c>
      <c r="D48" s="8" t="s">
        <v>432</v>
      </c>
      <c r="E48" s="6" t="s">
        <v>152</v>
      </c>
      <c r="F48" s="8" t="str">
        <f aca="false">INDEX(Faculty!$B:$B,MATCH(E48,Faculty!$A:$A,0))</f>
        <v>U Tennessee Knoxville</v>
      </c>
      <c r="G48" s="6" t="s">
        <v>412</v>
      </c>
      <c r="H48" s="8"/>
    </row>
    <row r="49" customFormat="false" ht="15" hidden="false" customHeight="false" outlineLevel="0" collapsed="false">
      <c r="A49" s="6" t="s">
        <v>433</v>
      </c>
      <c r="B49" s="6" t="s">
        <v>300</v>
      </c>
      <c r="C49" s="6" t="s">
        <v>434</v>
      </c>
      <c r="D49" s="8" t="s">
        <v>435</v>
      </c>
      <c r="E49" s="6" t="s">
        <v>149</v>
      </c>
      <c r="F49" s="8" t="str">
        <f aca="false">INDEX(Faculty!$B:$B,MATCH(E49,Faculty!$A:$A,0))</f>
        <v>U Tennessee Knoxville</v>
      </c>
      <c r="G49" s="6" t="s">
        <v>412</v>
      </c>
      <c r="H49" s="6" t="s">
        <v>436</v>
      </c>
    </row>
    <row r="50" customFormat="false" ht="15" hidden="false" customHeight="false" outlineLevel="0" collapsed="false">
      <c r="A50" s="6" t="s">
        <v>437</v>
      </c>
      <c r="B50" s="6" t="s">
        <v>309</v>
      </c>
      <c r="C50" s="6" t="s">
        <v>434</v>
      </c>
      <c r="D50" s="8" t="s">
        <v>438</v>
      </c>
      <c r="E50" s="6" t="s">
        <v>190</v>
      </c>
      <c r="F50" s="8" t="str">
        <f aca="false">INDEX(Faculty!$B:$B,MATCH(E50,Faculty!$A:$A,0))</f>
        <v>UIUC</v>
      </c>
      <c r="G50" s="6" t="s">
        <v>419</v>
      </c>
      <c r="H50" s="8"/>
    </row>
    <row r="51" customFormat="false" ht="15" hidden="false" customHeight="false" outlineLevel="0" collapsed="false">
      <c r="A51" s="6" t="s">
        <v>439</v>
      </c>
      <c r="B51" s="6" t="s">
        <v>377</v>
      </c>
      <c r="C51" s="6" t="s">
        <v>331</v>
      </c>
      <c r="D51" s="8" t="s">
        <v>440</v>
      </c>
      <c r="E51" s="6" t="s">
        <v>190</v>
      </c>
      <c r="F51" s="8" t="str">
        <f aca="false">INDEX(Faculty!$B:$B,MATCH(E51,Faculty!$A:$A,0))</f>
        <v>UIUC</v>
      </c>
      <c r="G51" s="6" t="s">
        <v>419</v>
      </c>
      <c r="H51" s="8"/>
    </row>
    <row r="52" customFormat="false" ht="15" hidden="false" customHeight="false" outlineLevel="0" collapsed="false">
      <c r="A52" s="6" t="s">
        <v>441</v>
      </c>
      <c r="B52" s="6" t="s">
        <v>300</v>
      </c>
      <c r="C52" s="6" t="s">
        <v>442</v>
      </c>
      <c r="D52" s="8" t="s">
        <v>443</v>
      </c>
      <c r="E52" s="6" t="s">
        <v>193</v>
      </c>
      <c r="F52" s="8" t="str">
        <f aca="false">INDEX(Faculty!$B:$B,MATCH(E52,Faculty!$A:$A,0))</f>
        <v>UIUC</v>
      </c>
      <c r="G52" s="6" t="s">
        <v>419</v>
      </c>
      <c r="H52" s="8"/>
    </row>
    <row r="53" customFormat="false" ht="15" hidden="false" customHeight="false" outlineLevel="0" collapsed="false">
      <c r="A53" s="6" t="s">
        <v>444</v>
      </c>
      <c r="B53" s="6" t="s">
        <v>309</v>
      </c>
      <c r="C53" s="6" t="s">
        <v>434</v>
      </c>
      <c r="D53" s="8" t="s">
        <v>445</v>
      </c>
      <c r="E53" s="6" t="s">
        <v>193</v>
      </c>
      <c r="F53" s="8" t="str">
        <f aca="false">INDEX(Faculty!$B:$B,MATCH(E53,Faculty!$A:$A,0))</f>
        <v>UIUC</v>
      </c>
      <c r="G53" s="6" t="s">
        <v>419</v>
      </c>
      <c r="H53" s="8"/>
    </row>
    <row r="54" customFormat="false" ht="15" hidden="false" customHeight="false" outlineLevel="0" collapsed="false">
      <c r="A54" s="6" t="s">
        <v>446</v>
      </c>
      <c r="B54" s="6" t="s">
        <v>300</v>
      </c>
      <c r="C54" s="6" t="s">
        <v>331</v>
      </c>
      <c r="D54" s="8" t="s">
        <v>447</v>
      </c>
      <c r="E54" s="6" t="s">
        <v>167</v>
      </c>
      <c r="F54" s="8" t="str">
        <f aca="false">INDEX(Faculty!$B:$B,MATCH(E54,Faculty!$A:$A,0))</f>
        <v>MIT</v>
      </c>
      <c r="G54" s="6" t="s">
        <v>419</v>
      </c>
      <c r="H54" s="6" t="s">
        <v>448</v>
      </c>
    </row>
    <row r="55" customFormat="false" ht="15" hidden="false" customHeight="false" outlineLevel="0" collapsed="false">
      <c r="A55" s="6" t="s">
        <v>449</v>
      </c>
      <c r="B55" s="6" t="s">
        <v>309</v>
      </c>
      <c r="C55" s="6" t="s">
        <v>331</v>
      </c>
      <c r="D55" s="8" t="s">
        <v>450</v>
      </c>
      <c r="E55" s="6" t="s">
        <v>167</v>
      </c>
      <c r="F55" s="8" t="str">
        <f aca="false">INDEX(Faculty!$B:$B,MATCH(E55,Faculty!$A:$A,0))</f>
        <v>MIT</v>
      </c>
      <c r="G55" s="6" t="s">
        <v>419</v>
      </c>
      <c r="H55" s="8"/>
    </row>
    <row r="56" customFormat="false" ht="15" hidden="false" customHeight="false" outlineLevel="0" collapsed="false">
      <c r="A56" s="6" t="s">
        <v>451</v>
      </c>
      <c r="B56" s="6" t="s">
        <v>309</v>
      </c>
      <c r="C56" s="6" t="s">
        <v>331</v>
      </c>
      <c r="D56" s="8" t="s">
        <v>452</v>
      </c>
      <c r="E56" s="6" t="s">
        <v>167</v>
      </c>
      <c r="F56" s="8" t="str">
        <f aca="false">INDEX(Faculty!$B:$B,MATCH(E56,Faculty!$A:$A,0))</f>
        <v>MIT</v>
      </c>
      <c r="G56" s="6" t="s">
        <v>419</v>
      </c>
      <c r="H56" s="8"/>
    </row>
    <row r="57" customFormat="false" ht="15" hidden="false" customHeight="false" outlineLevel="0" collapsed="false">
      <c r="A57" s="6" t="s">
        <v>453</v>
      </c>
      <c r="B57" s="6" t="s">
        <v>309</v>
      </c>
      <c r="C57" s="6" t="s">
        <v>331</v>
      </c>
      <c r="D57" s="8" t="s">
        <v>454</v>
      </c>
      <c r="E57" s="6" t="s">
        <v>212</v>
      </c>
      <c r="F57" s="8" t="str">
        <f aca="false">INDEX(Faculty!$B:$B,MATCH(E57,Faculty!$A:$A,0))</f>
        <v>UC San Diego</v>
      </c>
      <c r="G57" s="6" t="s">
        <v>419</v>
      </c>
      <c r="H57" s="8"/>
    </row>
    <row r="58" customFormat="false" ht="15" hidden="false" customHeight="false" outlineLevel="0" collapsed="false">
      <c r="A58" s="6" t="s">
        <v>455</v>
      </c>
      <c r="B58" s="6" t="s">
        <v>300</v>
      </c>
      <c r="C58" s="6" t="s">
        <v>331</v>
      </c>
      <c r="D58" s="8" t="s">
        <v>456</v>
      </c>
      <c r="E58" s="6" t="s">
        <v>215</v>
      </c>
      <c r="F58" s="8" t="str">
        <f aca="false">INDEX(Faculty!$B:$B,MATCH(E58,Faculty!$A:$A,0))</f>
        <v>UC Davis</v>
      </c>
      <c r="G58" s="6" t="s">
        <v>419</v>
      </c>
      <c r="H58" s="6" t="s">
        <v>457</v>
      </c>
    </row>
    <row r="59" customFormat="false" ht="15" hidden="false" customHeight="false" outlineLevel="0" collapsed="false">
      <c r="A59" s="6" t="s">
        <v>458</v>
      </c>
      <c r="B59" s="6" t="s">
        <v>377</v>
      </c>
      <c r="C59" s="6" t="s">
        <v>331</v>
      </c>
      <c r="D59" s="8" t="s">
        <v>459</v>
      </c>
      <c r="E59" s="6" t="s">
        <v>242</v>
      </c>
      <c r="F59" s="8" t="str">
        <f aca="false">INDEX(Faculty!$B:$B,MATCH(E59,Faculty!$A:$A,0))</f>
        <v>U Michigan</v>
      </c>
      <c r="G59" s="6" t="s">
        <v>419</v>
      </c>
      <c r="H59" s="8"/>
    </row>
    <row r="60" customFormat="false" ht="15" hidden="false" customHeight="false" outlineLevel="0" collapsed="false">
      <c r="A60" s="6" t="s">
        <v>460</v>
      </c>
      <c r="B60" s="6" t="s">
        <v>377</v>
      </c>
      <c r="C60" s="6" t="s">
        <v>331</v>
      </c>
      <c r="D60" s="8" t="s">
        <v>461</v>
      </c>
      <c r="E60" s="6" t="s">
        <v>227</v>
      </c>
      <c r="F60" s="8" t="str">
        <f aca="false">INDEX(Faculty!$B:$B,MATCH(E60,Faculty!$A:$A,0))</f>
        <v>U Virginia</v>
      </c>
      <c r="G60" s="6" t="s">
        <v>419</v>
      </c>
      <c r="H60" s="8"/>
    </row>
    <row r="61" customFormat="false" ht="15" hidden="false" customHeight="false" outlineLevel="0" collapsed="false">
      <c r="A61" s="6" t="s">
        <v>462</v>
      </c>
      <c r="B61" s="6" t="s">
        <v>300</v>
      </c>
      <c r="C61" s="6" t="s">
        <v>331</v>
      </c>
      <c r="D61" s="8" t="s">
        <v>463</v>
      </c>
      <c r="E61" s="6" t="s">
        <v>227</v>
      </c>
      <c r="F61" s="8" t="str">
        <f aca="false">INDEX(Faculty!$B:$B,MATCH(E61,Faculty!$A:$A,0))</f>
        <v>U Virginia</v>
      </c>
      <c r="G61" s="6" t="s">
        <v>419</v>
      </c>
      <c r="H61" s="8"/>
    </row>
    <row r="62" customFormat="false" ht="15" hidden="false" customHeight="false" outlineLevel="0" collapsed="false">
      <c r="A62" s="6" t="s">
        <v>464</v>
      </c>
      <c r="B62" s="6" t="s">
        <v>309</v>
      </c>
      <c r="C62" s="6" t="s">
        <v>373</v>
      </c>
      <c r="D62" s="8" t="s">
        <v>465</v>
      </c>
      <c r="E62" s="6" t="s">
        <v>257</v>
      </c>
      <c r="F62" s="8" t="str">
        <f aca="false">INDEX(Faculty!$B:$B,MATCH(E62,Faculty!$A:$A,0))</f>
        <v>UW-Madison</v>
      </c>
      <c r="G62" s="6" t="s">
        <v>412</v>
      </c>
      <c r="H62" s="8"/>
    </row>
    <row r="63" customFormat="false" ht="15" hidden="false" customHeight="false" outlineLevel="0" collapsed="false">
      <c r="A63" s="6" t="s">
        <v>466</v>
      </c>
      <c r="B63" s="6" t="s">
        <v>377</v>
      </c>
      <c r="C63" s="6" t="s">
        <v>373</v>
      </c>
      <c r="D63" s="8" t="s">
        <v>467</v>
      </c>
      <c r="E63" s="6" t="s">
        <v>263</v>
      </c>
      <c r="F63" s="8" t="str">
        <f aca="false">INDEX(Faculty!$B:$B,MATCH(E63,Faculty!$A:$A,0))</f>
        <v>U Minnesota</v>
      </c>
      <c r="G63" s="6" t="s">
        <v>412</v>
      </c>
      <c r="H63" s="6" t="s">
        <v>468</v>
      </c>
    </row>
    <row r="64" customFormat="false" ht="15" hidden="false" customHeight="false" outlineLevel="0" collapsed="false">
      <c r="A64" s="6" t="s">
        <v>469</v>
      </c>
      <c r="B64" s="6" t="s">
        <v>309</v>
      </c>
      <c r="C64" s="6" t="s">
        <v>331</v>
      </c>
      <c r="D64" s="8" t="s">
        <v>470</v>
      </c>
      <c r="E64" s="6" t="s">
        <v>253</v>
      </c>
      <c r="F64" s="8" t="str">
        <f aca="false">INDEX(Faculty!$B:$B,MATCH(E64,Faculty!$A:$A,0))</f>
        <v>U Houston</v>
      </c>
      <c r="G64" s="6" t="s">
        <v>412</v>
      </c>
      <c r="H64" s="8"/>
    </row>
    <row r="65" customFormat="false" ht="15" hidden="false" customHeight="false" outlineLevel="0" collapsed="false">
      <c r="A65" s="6" t="s">
        <v>471</v>
      </c>
      <c r="B65" s="6" t="s">
        <v>300</v>
      </c>
      <c r="C65" s="6" t="s">
        <v>331</v>
      </c>
      <c r="D65" s="8" t="s">
        <v>472</v>
      </c>
      <c r="E65" s="6" t="s">
        <v>230</v>
      </c>
      <c r="F65" s="8" t="str">
        <f aca="false">INDEX(Faculty!$B:$B,MATCH(E65,Faculty!$A:$A,0))</f>
        <v>UC Irvine</v>
      </c>
      <c r="G65" s="6" t="s">
        <v>419</v>
      </c>
      <c r="H65" s="8"/>
    </row>
    <row r="66" customFormat="false" ht="15" hidden="false" customHeight="false" outlineLevel="0" collapsed="false">
      <c r="A66" s="6" t="s">
        <v>473</v>
      </c>
      <c r="B66" s="6" t="s">
        <v>377</v>
      </c>
      <c r="C66" s="6" t="s">
        <v>431</v>
      </c>
      <c r="D66" s="8" t="s">
        <v>474</v>
      </c>
      <c r="E66" s="6" t="s">
        <v>77</v>
      </c>
      <c r="F66" s="8" t="str">
        <f aca="false">INDEX(Faculty!$B:$B,MATCH(E66,Faculty!$A:$A,0))</f>
        <v>University of Arizona</v>
      </c>
      <c r="G66" s="6" t="s">
        <v>475</v>
      </c>
      <c r="H66" s="6" t="s">
        <v>476</v>
      </c>
    </row>
    <row r="67" customFormat="false" ht="15" hidden="false" customHeight="false" outlineLevel="0" collapsed="false">
      <c r="A67" s="6" t="s">
        <v>477</v>
      </c>
      <c r="B67" s="6" t="s">
        <v>300</v>
      </c>
      <c r="C67" s="6" t="s">
        <v>478</v>
      </c>
      <c r="D67" s="8" t="s">
        <v>479</v>
      </c>
      <c r="E67" s="6" t="s">
        <v>77</v>
      </c>
      <c r="F67" s="8" t="str">
        <f aca="false">INDEX(Faculty!$B:$B,MATCH(E67,Faculty!$A:$A,0))</f>
        <v>University of Arizona</v>
      </c>
      <c r="G67" s="6" t="s">
        <v>480</v>
      </c>
      <c r="H67" s="8"/>
    </row>
    <row r="68" customFormat="false" ht="15" hidden="false" customHeight="false" outlineLevel="0" collapsed="false">
      <c r="A68" s="6" t="s">
        <v>481</v>
      </c>
      <c r="B68" s="6" t="s">
        <v>300</v>
      </c>
      <c r="C68" s="6" t="s">
        <v>338</v>
      </c>
      <c r="D68" s="8" t="s">
        <v>482</v>
      </c>
      <c r="E68" s="6" t="s">
        <v>91</v>
      </c>
      <c r="F68" s="8" t="str">
        <f aca="false">INDEX(Faculty!$B:$B,MATCH(E68,Faculty!$A:$A,0))</f>
        <v>University of Arizona</v>
      </c>
      <c r="G68" s="6" t="s">
        <v>483</v>
      </c>
      <c r="H68" s="8"/>
    </row>
    <row r="69" customFormat="false" ht="15" hidden="false" customHeight="false" outlineLevel="0" collapsed="false">
      <c r="A69" s="6" t="s">
        <v>484</v>
      </c>
      <c r="B69" s="6" t="s">
        <v>377</v>
      </c>
      <c r="C69" s="6" t="s">
        <v>485</v>
      </c>
      <c r="D69" s="8" t="s">
        <v>486</v>
      </c>
      <c r="E69" s="6" t="s">
        <v>91</v>
      </c>
      <c r="F69" s="8" t="str">
        <f aca="false">INDEX(Faculty!$B:$B,MATCH(E69,Faculty!$A:$A,0))</f>
        <v>University of Arizona</v>
      </c>
      <c r="G69" s="6" t="s">
        <v>480</v>
      </c>
      <c r="H69" s="8"/>
    </row>
    <row r="70" customFormat="false" ht="15" hidden="false" customHeight="false" outlineLevel="0" collapsed="false">
      <c r="A70" s="6" t="s">
        <v>487</v>
      </c>
      <c r="B70" s="6" t="s">
        <v>377</v>
      </c>
      <c r="C70" s="6" t="s">
        <v>488</v>
      </c>
      <c r="D70" s="8" t="s">
        <v>489</v>
      </c>
      <c r="E70" s="6" t="s">
        <v>91</v>
      </c>
      <c r="F70" s="8" t="str">
        <f aca="false">INDEX(Faculty!$B:$B,MATCH(E70,Faculty!$A:$A,0))</f>
        <v>University of Arizona</v>
      </c>
      <c r="G70" s="6" t="s">
        <v>490</v>
      </c>
      <c r="H70" s="6" t="s">
        <v>491</v>
      </c>
    </row>
    <row r="71" customFormat="false" ht="15" hidden="false" customHeight="false" outlineLevel="0" collapsed="false">
      <c r="A71" s="6" t="s">
        <v>492</v>
      </c>
      <c r="B71" s="6" t="s">
        <v>318</v>
      </c>
      <c r="C71" s="6" t="s">
        <v>493</v>
      </c>
      <c r="D71" s="8" t="s">
        <v>494</v>
      </c>
      <c r="E71" s="6" t="s">
        <v>83</v>
      </c>
      <c r="F71" s="8" t="str">
        <f aca="false">INDEX(Faculty!$B:$B,MATCH(E71,Faculty!$A:$A,0))</f>
        <v>University of Arizona</v>
      </c>
      <c r="G71" s="6" t="s">
        <v>495</v>
      </c>
      <c r="H71" s="6" t="s">
        <v>496</v>
      </c>
    </row>
    <row r="72" customFormat="false" ht="15" hidden="false" customHeight="false" outlineLevel="0" collapsed="false">
      <c r="A72" s="6" t="s">
        <v>497</v>
      </c>
      <c r="B72" s="6" t="s">
        <v>289</v>
      </c>
      <c r="C72" s="6" t="s">
        <v>498</v>
      </c>
      <c r="D72" s="8" t="s">
        <v>499</v>
      </c>
      <c r="E72" s="6" t="s">
        <v>123</v>
      </c>
      <c r="F72" s="8" t="str">
        <f aca="false">INDEX(Faculty!$B:$B,MATCH(E72,Faculty!$A:$A,0))</f>
        <v>University of Arizona</v>
      </c>
      <c r="G72" s="6" t="s">
        <v>490</v>
      </c>
      <c r="H72" s="6" t="s">
        <v>500</v>
      </c>
    </row>
    <row r="73" customFormat="false" ht="15" hidden="false" customHeight="false" outlineLevel="0" collapsed="false">
      <c r="A73" s="6" t="s">
        <v>501</v>
      </c>
      <c r="B73" s="6" t="s">
        <v>300</v>
      </c>
      <c r="C73" s="6" t="s">
        <v>403</v>
      </c>
      <c r="D73" s="8" t="s">
        <v>502</v>
      </c>
      <c r="E73" s="6" t="s">
        <v>88</v>
      </c>
      <c r="F73" s="8" t="str">
        <f aca="false">INDEX(Faculty!$B:$B,MATCH(E73,Faculty!$A:$A,0))</f>
        <v>University of Arizona</v>
      </c>
      <c r="G73" s="6" t="s">
        <v>495</v>
      </c>
      <c r="H73" s="6" t="s">
        <v>503</v>
      </c>
    </row>
    <row r="74" customFormat="false" ht="15" hidden="false" customHeight="false" outlineLevel="0" collapsed="false">
      <c r="A74" s="6" t="s">
        <v>504</v>
      </c>
      <c r="B74" s="6" t="s">
        <v>289</v>
      </c>
      <c r="C74" s="6" t="s">
        <v>431</v>
      </c>
      <c r="D74" s="8" t="s">
        <v>505</v>
      </c>
      <c r="E74" s="6" t="s">
        <v>88</v>
      </c>
      <c r="F74" s="8" t="str">
        <f aca="false">INDEX(Faculty!$B:$B,MATCH(E74,Faculty!$A:$A,0))</f>
        <v>University of Arizona</v>
      </c>
      <c r="G74" s="6" t="s">
        <v>490</v>
      </c>
      <c r="H74" s="8"/>
    </row>
    <row r="75" customFormat="false" ht="15" hidden="false" customHeight="false" outlineLevel="0" collapsed="false">
      <c r="A75" s="6" t="s">
        <v>506</v>
      </c>
      <c r="B75" s="6" t="s">
        <v>309</v>
      </c>
      <c r="C75" s="6" t="s">
        <v>350</v>
      </c>
      <c r="D75" s="8" t="s">
        <v>507</v>
      </c>
      <c r="E75" s="6" t="s">
        <v>99</v>
      </c>
      <c r="F75" s="8" t="str">
        <f aca="false">INDEX(Faculty!$B:$B,MATCH(E75,Faculty!$A:$A,0))</f>
        <v>University of Arizona</v>
      </c>
      <c r="G75" s="6" t="s">
        <v>490</v>
      </c>
      <c r="H75" s="6" t="s">
        <v>503</v>
      </c>
    </row>
    <row r="76" customFormat="false" ht="15" hidden="false" customHeight="false" outlineLevel="0" collapsed="false">
      <c r="A76" s="6" t="s">
        <v>508</v>
      </c>
      <c r="B76" s="6" t="s">
        <v>377</v>
      </c>
      <c r="C76" s="6" t="s">
        <v>509</v>
      </c>
      <c r="D76" s="8" t="s">
        <v>510</v>
      </c>
      <c r="E76" s="6" t="s">
        <v>99</v>
      </c>
      <c r="F76" s="8" t="str">
        <f aca="false">INDEX(Faculty!$B:$B,MATCH(E76,Faculty!$A:$A,0))</f>
        <v>University of Arizona</v>
      </c>
      <c r="G76" s="6" t="s">
        <v>490</v>
      </c>
      <c r="H76" s="6" t="s">
        <v>511</v>
      </c>
    </row>
    <row r="77" customFormat="false" ht="15" hidden="false" customHeight="false" outlineLevel="0" collapsed="false">
      <c r="A77" s="6" t="s">
        <v>512</v>
      </c>
      <c r="B77" s="6" t="s">
        <v>309</v>
      </c>
      <c r="C77" s="6" t="s">
        <v>290</v>
      </c>
      <c r="D77" s="8" t="s">
        <v>513</v>
      </c>
      <c r="E77" s="6" t="s">
        <v>103</v>
      </c>
      <c r="F77" s="8" t="str">
        <f aca="false">INDEX(Faculty!$B:$B,MATCH(E77,Faculty!$A:$A,0))</f>
        <v>University of Arizona</v>
      </c>
      <c r="G77" s="6" t="s">
        <v>490</v>
      </c>
      <c r="H77" s="8"/>
    </row>
    <row r="78" customFormat="false" ht="15" hidden="false" customHeight="false" outlineLevel="0" collapsed="false">
      <c r="A78" s="6" t="s">
        <v>514</v>
      </c>
      <c r="B78" s="6" t="s">
        <v>309</v>
      </c>
      <c r="C78" s="6" t="s">
        <v>478</v>
      </c>
      <c r="D78" s="8" t="s">
        <v>515</v>
      </c>
      <c r="E78" s="6" t="s">
        <v>96</v>
      </c>
      <c r="F78" s="8" t="str">
        <f aca="false">INDEX(Faculty!$B:$B,MATCH(E78,Faculty!$A:$A,0))</f>
        <v>University of Arizona</v>
      </c>
      <c r="G78" s="6" t="s">
        <v>516</v>
      </c>
      <c r="H78" s="8"/>
    </row>
    <row r="79" customFormat="false" ht="15" hidden="false" customHeight="false" outlineLevel="0" collapsed="false">
      <c r="A79" s="6" t="s">
        <v>517</v>
      </c>
      <c r="B79" s="6" t="s">
        <v>309</v>
      </c>
      <c r="C79" s="6" t="s">
        <v>331</v>
      </c>
      <c r="D79" s="8" t="s">
        <v>518</v>
      </c>
      <c r="E79" s="6" t="s">
        <v>96</v>
      </c>
      <c r="F79" s="8" t="str">
        <f aca="false">INDEX(Faculty!$B:$B,MATCH(E79,Faculty!$A:$A,0))</f>
        <v>University of Arizona</v>
      </c>
      <c r="G79" s="6" t="s">
        <v>516</v>
      </c>
      <c r="H79" s="8"/>
    </row>
    <row r="80" customFormat="false" ht="15" hidden="false" customHeight="false" outlineLevel="0" collapsed="false">
      <c r="A80" s="6" t="s">
        <v>519</v>
      </c>
      <c r="B80" s="6" t="s">
        <v>295</v>
      </c>
      <c r="C80" s="6" t="s">
        <v>520</v>
      </c>
      <c r="D80" s="8" t="s">
        <v>521</v>
      </c>
      <c r="E80" s="6" t="s">
        <v>107</v>
      </c>
      <c r="F80" s="8" t="str">
        <f aca="false">INDEX(Faculty!$B:$B,MATCH(E80,Faculty!$A:$A,0))</f>
        <v>University of Arizona</v>
      </c>
      <c r="G80" s="6" t="s">
        <v>495</v>
      </c>
      <c r="H80" s="8"/>
    </row>
    <row r="81" customFormat="false" ht="15" hidden="false" customHeight="false" outlineLevel="0" collapsed="false">
      <c r="A81" s="6" t="s">
        <v>522</v>
      </c>
      <c r="B81" s="6" t="s">
        <v>318</v>
      </c>
      <c r="C81" s="6" t="s">
        <v>520</v>
      </c>
      <c r="D81" s="8" t="s">
        <v>523</v>
      </c>
      <c r="E81" s="6" t="s">
        <v>107</v>
      </c>
      <c r="F81" s="8" t="str">
        <f aca="false">INDEX(Faculty!$B:$B,MATCH(E81,Faculty!$A:$A,0))</f>
        <v>University of Arizona</v>
      </c>
      <c r="G81" s="6" t="s">
        <v>480</v>
      </c>
      <c r="H81" s="8"/>
    </row>
    <row r="82" customFormat="false" ht="15" hidden="false" customHeight="false" outlineLevel="0" collapsed="false">
      <c r="A82" s="6" t="s">
        <v>524</v>
      </c>
      <c r="B82" s="6" t="s">
        <v>377</v>
      </c>
      <c r="C82" s="6" t="s">
        <v>525</v>
      </c>
      <c r="D82" s="8" t="s">
        <v>526</v>
      </c>
      <c r="E82" s="6" t="s">
        <v>114</v>
      </c>
      <c r="F82" s="8" t="str">
        <f aca="false">INDEX(Faculty!$B:$B,MATCH(E82,Faculty!$A:$A,0))</f>
        <v>University of Arizona</v>
      </c>
      <c r="G82" s="6" t="s">
        <v>516</v>
      </c>
      <c r="H82" s="8"/>
    </row>
    <row r="83" customFormat="false" ht="15" hidden="false" customHeight="false" outlineLevel="0" collapsed="false">
      <c r="A83" s="6" t="s">
        <v>527</v>
      </c>
      <c r="B83" s="6" t="s">
        <v>300</v>
      </c>
      <c r="C83" s="6" t="s">
        <v>338</v>
      </c>
      <c r="D83" s="8" t="s">
        <v>528</v>
      </c>
      <c r="E83" s="6" t="s">
        <v>117</v>
      </c>
      <c r="F83" s="8" t="str">
        <f aca="false">INDEX(Faculty!$B:$B,MATCH(E83,Faculty!$A:$A,0))</f>
        <v>University of Arizona</v>
      </c>
      <c r="G83" s="6" t="s">
        <v>480</v>
      </c>
      <c r="H83" s="6" t="s">
        <v>529</v>
      </c>
    </row>
    <row r="84" customFormat="false" ht="15" hidden="false" customHeight="false" outlineLevel="0" collapsed="false">
      <c r="A84" s="6" t="s">
        <v>530</v>
      </c>
      <c r="B84" s="6" t="s">
        <v>309</v>
      </c>
      <c r="C84" s="6" t="s">
        <v>403</v>
      </c>
      <c r="D84" s="8" t="s">
        <v>531</v>
      </c>
      <c r="E84" s="6" t="s">
        <v>117</v>
      </c>
      <c r="F84" s="8" t="str">
        <f aca="false">INDEX(Faculty!$B:$B,MATCH(E84,Faculty!$A:$A,0))</f>
        <v>University of Arizona</v>
      </c>
      <c r="G84" s="6" t="s">
        <v>495</v>
      </c>
      <c r="H84" s="8"/>
    </row>
    <row r="85" customFormat="false" ht="15" hidden="false" customHeight="false" outlineLevel="0" collapsed="false">
      <c r="A85" s="6" t="s">
        <v>532</v>
      </c>
      <c r="B85" s="6" t="s">
        <v>300</v>
      </c>
      <c r="C85" s="6" t="s">
        <v>533</v>
      </c>
      <c r="D85" s="8" t="s">
        <v>534</v>
      </c>
      <c r="E85" s="6" t="s">
        <v>121</v>
      </c>
      <c r="F85" s="8" t="str">
        <f aca="false">INDEX(Faculty!$B:$B,MATCH(E85,Faculty!$A:$A,0))</f>
        <v>University of Arizona</v>
      </c>
      <c r="G85" s="6" t="s">
        <v>516</v>
      </c>
      <c r="H85" s="8"/>
    </row>
    <row r="86" customFormat="false" ht="15" hidden="false" customHeight="false" outlineLevel="0" collapsed="false">
      <c r="A86" s="6" t="s">
        <v>535</v>
      </c>
      <c r="B86" s="6" t="s">
        <v>309</v>
      </c>
      <c r="C86" s="6" t="s">
        <v>536</v>
      </c>
      <c r="D86" s="8" t="s">
        <v>537</v>
      </c>
      <c r="E86" s="6" t="s">
        <v>110</v>
      </c>
      <c r="F86" s="8" t="str">
        <f aca="false">INDEX(Faculty!$B:$B,MATCH(E86,Faculty!$A:$A,0))</f>
        <v>University of Arizona</v>
      </c>
      <c r="G86" s="6" t="s">
        <v>292</v>
      </c>
      <c r="H86" s="6" t="s">
        <v>538</v>
      </c>
    </row>
    <row r="87" customFormat="false" ht="15" hidden="false" customHeight="false" outlineLevel="0" collapsed="false">
      <c r="A87" s="6" t="s">
        <v>539</v>
      </c>
      <c r="B87" s="6" t="s">
        <v>300</v>
      </c>
      <c r="C87" s="6" t="s">
        <v>540</v>
      </c>
      <c r="D87" s="8" t="s">
        <v>541</v>
      </c>
      <c r="E87" s="6" t="s">
        <v>126</v>
      </c>
      <c r="F87" s="8" t="str">
        <f aca="false">INDEX(Faculty!$B:$B,MATCH(E87,Faculty!$A:$A,0))</f>
        <v>University of Arizona</v>
      </c>
      <c r="G87" s="6" t="s">
        <v>475</v>
      </c>
      <c r="H87" s="8"/>
    </row>
    <row r="88" customFormat="false" ht="15" hidden="false" customHeight="false" outlineLevel="0" collapsed="false">
      <c r="A88" s="6" t="s">
        <v>542</v>
      </c>
      <c r="B88" s="6" t="s">
        <v>295</v>
      </c>
      <c r="C88" s="6" t="s">
        <v>543</v>
      </c>
      <c r="D88" s="8" t="s">
        <v>544</v>
      </c>
      <c r="E88" s="6" t="s">
        <v>128</v>
      </c>
      <c r="F88" s="8" t="str">
        <f aca="false">INDEX(Faculty!$B:$B,MATCH(E88,Faculty!$A:$A,0))</f>
        <v>University of Arizona</v>
      </c>
      <c r="G88" s="6" t="s">
        <v>490</v>
      </c>
      <c r="H88" s="8"/>
    </row>
    <row r="89" customFormat="false" ht="15" hidden="false" customHeight="false" outlineLevel="0" collapsed="false">
      <c r="A89" s="6" t="s">
        <v>545</v>
      </c>
      <c r="B89" s="6" t="s">
        <v>318</v>
      </c>
      <c r="C89" s="6" t="s">
        <v>546</v>
      </c>
      <c r="D89" s="8" t="s">
        <v>547</v>
      </c>
      <c r="E89" s="6" t="s">
        <v>128</v>
      </c>
      <c r="F89" s="8" t="str">
        <f aca="false">INDEX(Faculty!$B:$B,MATCH(E89,Faculty!$A:$A,0))</f>
        <v>University of Arizona</v>
      </c>
      <c r="G89" s="6" t="s">
        <v>316</v>
      </c>
      <c r="H89" s="8"/>
    </row>
  </sheetData>
  <hyperlinks>
    <hyperlink ref="D2" r:id="rId1" display="https://doi.org/10.1002/advs.202004214"/>
    <hyperlink ref="D3" r:id="rId2" display="https://arxiv.org/abs/2301.02197"/>
    <hyperlink ref="D4" r:id="rId3" display="https://arxiv.org/abs/2506.00725"/>
    <hyperlink ref="D5" r:id="rId4" display="https://arxiv.org/abs/2503.19148"/>
    <hyperlink ref="D6" r:id="rId5" display="https://doi.org/10.1002/adma.202409175"/>
    <hyperlink ref="D7" r:id="rId6" display="https://doi.org/10.1038/s41563-025-02355-y"/>
    <hyperlink ref="D8" r:id="rId7" display="https://doi.org/10.1002/adma.202204113"/>
    <hyperlink ref="D9" r:id="rId8" display="https://doi.org/10.1016/j.isci.2022.105192"/>
    <hyperlink ref="D10" r:id="rId9" display="https://arxiv.org/abs/2102.03024"/>
    <hyperlink ref="D11" r:id="rId10" display="https://doi.org/10.1080/08940886.2022.2112498"/>
    <hyperlink ref="D12" r:id="rId11" display="https://arxiv.org/abs/2207.09453"/>
    <hyperlink ref="D13" r:id="rId12" display="https://arxiv.org/abs/2403.11347"/>
    <hyperlink ref="D14" r:id="rId13" display="https://arxiv.org/abs/2101.03164"/>
    <hyperlink ref="D15" r:id="rId14" display="https://arxiv.org/abs/2204.05249"/>
    <hyperlink ref="D16" r:id="rId15" display="https://doi.org/10.1038/s41524-023-00988-8"/>
    <hyperlink ref="D17" r:id="rId16" display="https://arxiv.org/abs/2505.04862"/>
    <hyperlink ref="D18" r:id="rId17" display="https://arxiv.org/abs/2506.15652"/>
    <hyperlink ref="D19" r:id="rId18" display="https://arxiv.org/abs/2110.08406"/>
    <hyperlink ref="D20" r:id="rId19" display="https://arxiv.org/abs/2501.02932"/>
    <hyperlink ref="D21" r:id="rId20" display="https://arxiv.org/abs/2401.16611"/>
    <hyperlink ref="D22" r:id="rId21" display="https://arxiv.org/abs/2509.25186"/>
    <hyperlink ref="D23" r:id="rId22" display="https://arxiv.org/abs/2402.11383"/>
    <hyperlink ref="D24" r:id="rId23" display="https://arxiv.org/abs/2407.09674"/>
    <hyperlink ref="D25" r:id="rId24" display="https://doi.org/10.1016/j.mtphys.2024.101632"/>
    <hyperlink ref="D26" r:id="rId25" display="https://doi.org/10.1038/s41524-023-01020-9"/>
    <hyperlink ref="D27" r:id="rId26" display="https://doi.org/10.1088/2632-2153/ad79b6"/>
    <hyperlink ref="D28" r:id="rId27" display="https://doi.org/10.1039/d6dd00008h"/>
    <hyperlink ref="D29" r:id="rId28" display="https://arxiv.org/abs/2606.03764"/>
    <hyperlink ref="D30" r:id="rId29" display="https://doi.org/10.1016/j.joule.2025.102054"/>
    <hyperlink ref="D31" r:id="rId30" display="https://arxiv.org/abs/2302.01486"/>
    <hyperlink ref="D32" r:id="rId31" display="https://doi.org/10.1073/pnas.2109665119"/>
    <hyperlink ref="D33" r:id="rId32" display="https://doi.org/10.1038/s41567-023-02380-1"/>
    <hyperlink ref="D34" r:id="rId33" display="https://doi.org/10.1038/s43246-022-00306-7"/>
    <hyperlink ref="D35" r:id="rId34" display="https://doi.org/10.1103/PhysRevX.14.021023"/>
    <hyperlink ref="D36" r:id="rId35" display="https://arxiv.org/abs/2409.13851"/>
    <hyperlink ref="D37" r:id="rId36" display="https://arxiv.org/abs/2208.05039"/>
    <hyperlink ref="D38" r:id="rId37" display="https://arxiv.org/abs/2207.13880"/>
    <hyperlink ref="D39" r:id="rId38" display="https://arxiv.org/abs/2209.11807"/>
    <hyperlink ref="D40" r:id="rId39" display="https://arxiv.org/abs/2608.10350"/>
    <hyperlink ref="D41" r:id="rId40" display="https://arxiv.org/abs/2409.07042"/>
    <hyperlink ref="D42" r:id="rId41" display="https://arxiv.org/abs/2603.16725"/>
    <hyperlink ref="D43" r:id="rId42" display="https://arxiv.org/abs/2606.11240"/>
    <hyperlink ref="D44" r:id="rId43" display="https://arxiv.org/abs/2606.17045"/>
    <hyperlink ref="D45" r:id="rId44" display="https://arxiv.org/abs/2609.22535"/>
    <hyperlink ref="D46" r:id="rId45" display="https://arxiv.org/abs/2601.00855"/>
    <hyperlink ref="D47" r:id="rId46" display="https://doi.org/10.1039/d4dd00391h"/>
    <hyperlink ref="D48" r:id="rId47" display="https://doi.org/10.1021/acs.nanolett.5c05373"/>
    <hyperlink ref="D49" r:id="rId48" display="https://doi.org/10.1103/tnqm-ttj3"/>
    <hyperlink ref="D50" r:id="rId49" display="https://arxiv.org/abs/2311.09450"/>
    <hyperlink ref="D51" r:id="rId50" display="https://arxiv.org/abs/2603.14775"/>
    <hyperlink ref="D52" r:id="rId51" display="https://arxiv.org/abs/2506.00155"/>
    <hyperlink ref="D53" r:id="rId52" display="https://doi.org/10.1103/PhysRevB.110.195103"/>
    <hyperlink ref="D54" r:id="rId53" display="https://arxiv.org/abs/2503.13585"/>
    <hyperlink ref="D55" r:id="rId54" display="https://arxiv.org/abs/2406.17645"/>
    <hyperlink ref="D56" r:id="rId55" display="https://arxiv.org/abs/2412.00618"/>
    <hyperlink ref="D57" r:id="rId56" display="https://arxiv.org/abs/2411.03285"/>
    <hyperlink ref="D58" r:id="rId57" display="https://arxiv.org/abs/2501.04681"/>
    <hyperlink ref="D59" r:id="rId58" display="https://arxiv.org/abs/2607.11190"/>
    <hyperlink ref="D60" r:id="rId59" display="https://arxiv.org/abs/2604.11513"/>
    <hyperlink ref="D61" r:id="rId60" display="https://arxiv.org/abs/2501.06171"/>
    <hyperlink ref="D62" r:id="rId61" display="https://arxiv.org/abs/2406.15650"/>
    <hyperlink ref="D63" r:id="rId62" display="https://arxiv.org/abs/2508.06456"/>
    <hyperlink ref="D64" r:id="rId63" display="https://arxiv.org/abs/2405.02461"/>
    <hyperlink ref="D65" r:id="rId64" display="https://arxiv.org/abs/2503.01709"/>
    <hyperlink ref="D66" r:id="rId65" display="https://doi.org/10.1021/acs.nanolett.5c06306"/>
    <hyperlink ref="D67" r:id="rId66" display="https://doi.org/10.1103/64xv-3fyx"/>
    <hyperlink ref="D68" r:id="rId67" display="https://doi.org/10.1038/s41467-025-61380-2"/>
    <hyperlink ref="D69" r:id="rId68" display="https://doi.org/10.1038/s44172-026-00623-6"/>
    <hyperlink ref="D70" r:id="rId69" display="https://doi.org/10.1103/p8q7-r6ck"/>
    <hyperlink ref="D71" r:id="rId70" display="https://doi.org/10.1002/pssr.202200030"/>
    <hyperlink ref="D72" r:id="rId71" display="https://doi.org/10.1088/2515-7639/abc13b"/>
    <hyperlink ref="D73" r:id="rId72" display="https://doi.org/10.1126/sciadv.adr1772"/>
    <hyperlink ref="D74" r:id="rId73" display="https://doi.org/10.1021/acs.nanolett.1c01215"/>
    <hyperlink ref="D75" r:id="rId74" display="https://doi.org/10.1021/acsnano.4c04097"/>
    <hyperlink ref="D76" r:id="rId75" display="https://doi.org/10.1021/acsami.6c02516"/>
    <hyperlink ref="D77" r:id="rId76" display="https://doi.org/10.1002/advs.202407175"/>
    <hyperlink ref="D78" r:id="rId77" display="https://doi.org/10.1103/PhysRevLett.133.070404"/>
    <hyperlink ref="D79" r:id="rId78" display="https://arxiv.org/abs/2410.06312"/>
    <hyperlink ref="D80" r:id="rId79" display="https://doi.org/10.1103/PhysRevMaterials.7.044406"/>
    <hyperlink ref="D81" r:id="rId80" display="https://doi.org/10.1103/PhysRevMaterials.6.104403"/>
    <hyperlink ref="D82" r:id="rId81" display="https://arxiv.org/abs/2607.03706"/>
    <hyperlink ref="D83" r:id="rId82" display="https://doi.org/10.1038/s41467-025-59675-5"/>
    <hyperlink ref="D84" r:id="rId83" display="https://doi.org/10.1126/sciadv.adp5805"/>
    <hyperlink ref="D85" r:id="rId84" display="https://doi.org/10.1103/PhysRevResearch.7.L022042"/>
    <hyperlink ref="D86" r:id="rId85" display="https://doi.org/10.1021/acs.jpca.4c06745"/>
    <hyperlink ref="D87" r:id="rId86" display="https://arxiv.org/abs/2501.18637"/>
    <hyperlink ref="D88" r:id="rId87" display="https://doi.org/10.1063/5.0125422"/>
    <hyperlink ref="D89" r:id="rId88" display="https://doi.org/10.1002/adfm.202111121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8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2026-09-28T06:04:47Z</dcterms:created>
  <dc:creator>openpyxl</dc:creator>
  <dc:description/>
  <dc:language>en-US</dc:language>
  <cp:lastModifiedBy/>
  <dcterms:modified xsi:type="dcterms:W3CDTF">2026-09-28T06:04:47Z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